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1"/>
  <workbookPr/>
  <xr:revisionPtr revIDLastSave="0" documentId="8_{63EEF953-9776-4744-A3D6-995AF124D4A7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Raw Data" sheetId="1" r:id="rId1"/>
    <sheet name="Revenue by Product" sheetId="2" r:id="rId2"/>
    <sheet name="Supplier Performance" sheetId="3" r:id="rId3"/>
    <sheet name="Logistics &amp; Shipping" sheetId="4" r:id="rId4"/>
    <sheet name="Location &amp; Inventory" sheetId="5" r:id="rId5"/>
    <sheet name="Quality &amp; Defects" sheetId="6" r:id="rId6"/>
    <sheet name="KPI Report Template" sheetId="7" r:id="rId7"/>
    <sheet name="Monthly Report Template" sheetId="8" r:id="rId8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38" i="8" l="1"/>
  <c r="E37" i="8"/>
  <c r="E36" i="8"/>
  <c r="E35" i="8"/>
  <c r="E32" i="8"/>
  <c r="E31" i="8"/>
  <c r="E30" i="8"/>
  <c r="E29" i="8"/>
  <c r="E26" i="8"/>
  <c r="E25" i="8"/>
  <c r="E24" i="8"/>
  <c r="E23" i="8"/>
  <c r="E20" i="8"/>
  <c r="E19" i="8"/>
  <c r="E18" i="8"/>
  <c r="E17" i="8"/>
  <c r="E14" i="8"/>
  <c r="E13" i="8"/>
  <c r="E12" i="8"/>
  <c r="E11" i="8"/>
  <c r="D23" i="7"/>
  <c r="C23" i="7"/>
  <c r="D22" i="7"/>
  <c r="C22" i="7"/>
  <c r="D17" i="7"/>
  <c r="C17" i="7"/>
  <c r="D16" i="7"/>
  <c r="C16" i="7"/>
  <c r="D15" i="7"/>
  <c r="C15" i="7"/>
  <c r="D14" i="7"/>
  <c r="C14" i="7"/>
  <c r="D13" i="7"/>
  <c r="C13" i="7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B18" i="6" s="1"/>
  <c r="E8" i="6"/>
  <c r="D8" i="6"/>
  <c r="C8" i="6"/>
  <c r="B8" i="6"/>
  <c r="L7" i="6"/>
  <c r="E7" i="6"/>
  <c r="D7" i="6"/>
  <c r="C7" i="6"/>
  <c r="B7" i="6"/>
  <c r="L6" i="6"/>
  <c r="E6" i="6"/>
  <c r="D6" i="6"/>
  <c r="C6" i="6"/>
  <c r="B6" i="6"/>
  <c r="B9" i="6" s="1"/>
  <c r="L5" i="6"/>
  <c r="L4" i="6"/>
  <c r="G9" i="5"/>
  <c r="F9" i="5"/>
  <c r="E9" i="5"/>
  <c r="D9" i="5"/>
  <c r="C9" i="5"/>
  <c r="H9" i="5" s="1"/>
  <c r="B9" i="5"/>
  <c r="L8" i="5"/>
  <c r="G8" i="5"/>
  <c r="F8" i="5"/>
  <c r="E8" i="5"/>
  <c r="D8" i="5"/>
  <c r="C8" i="5"/>
  <c r="H8" i="5" s="1"/>
  <c r="B8" i="5"/>
  <c r="G7" i="5"/>
  <c r="F7" i="5"/>
  <c r="E7" i="5"/>
  <c r="D7" i="5"/>
  <c r="C7" i="5"/>
  <c r="H7" i="5" s="1"/>
  <c r="B7" i="5"/>
  <c r="L6" i="5"/>
  <c r="G6" i="5"/>
  <c r="F6" i="5"/>
  <c r="E6" i="5"/>
  <c r="D6" i="5"/>
  <c r="C6" i="5"/>
  <c r="H6" i="5" s="1"/>
  <c r="B6" i="5"/>
  <c r="L5" i="5"/>
  <c r="G5" i="5"/>
  <c r="G10" i="5" s="1"/>
  <c r="F5" i="5"/>
  <c r="E5" i="5"/>
  <c r="E10" i="5" s="1"/>
  <c r="D5" i="5"/>
  <c r="D10" i="5" s="1"/>
  <c r="C5" i="5"/>
  <c r="B5" i="5"/>
  <c r="B10" i="5" s="1"/>
  <c r="L4" i="5"/>
  <c r="D16" i="4"/>
  <c r="E16" i="4" s="1"/>
  <c r="C16" i="4"/>
  <c r="B16" i="4"/>
  <c r="D15" i="4"/>
  <c r="E15" i="4" s="1"/>
  <c r="C15" i="4"/>
  <c r="B15" i="4"/>
  <c r="D14" i="4"/>
  <c r="C14" i="4"/>
  <c r="C17" i="4" s="1"/>
  <c r="B14" i="4"/>
  <c r="B17" i="4" s="1"/>
  <c r="N9" i="4"/>
  <c r="K9" i="4"/>
  <c r="J9" i="4"/>
  <c r="I9" i="4"/>
  <c r="H9" i="4"/>
  <c r="N8" i="4"/>
  <c r="K8" i="4"/>
  <c r="J8" i="4"/>
  <c r="I8" i="4"/>
  <c r="H8" i="4"/>
  <c r="E8" i="4"/>
  <c r="D8" i="4"/>
  <c r="C8" i="4"/>
  <c r="B8" i="4"/>
  <c r="N7" i="4"/>
  <c r="K7" i="4"/>
  <c r="J7" i="4"/>
  <c r="I7" i="4"/>
  <c r="H7" i="4"/>
  <c r="E7" i="4"/>
  <c r="D7" i="4"/>
  <c r="C7" i="4"/>
  <c r="B7" i="4"/>
  <c r="N6" i="4"/>
  <c r="K6" i="4"/>
  <c r="K10" i="4" s="1"/>
  <c r="J6" i="4"/>
  <c r="J10" i="4" s="1"/>
  <c r="I6" i="4"/>
  <c r="I10" i="4" s="1"/>
  <c r="H6" i="4"/>
  <c r="H10" i="4" s="1"/>
  <c r="E6" i="4"/>
  <c r="E9" i="4" s="1"/>
  <c r="D6" i="4"/>
  <c r="D9" i="4" s="1"/>
  <c r="C19" i="7" s="1"/>
  <c r="C6" i="4"/>
  <c r="C9" i="4" s="1"/>
  <c r="B6" i="4"/>
  <c r="B9" i="4" s="1"/>
  <c r="N5" i="4"/>
  <c r="N4" i="4"/>
  <c r="L10" i="3"/>
  <c r="L9" i="3"/>
  <c r="I9" i="3"/>
  <c r="H9" i="3"/>
  <c r="G9" i="3"/>
  <c r="F9" i="3"/>
  <c r="E9" i="3"/>
  <c r="D9" i="3"/>
  <c r="C9" i="3"/>
  <c r="B9" i="3"/>
  <c r="L8" i="3"/>
  <c r="I8" i="3"/>
  <c r="H8" i="3"/>
  <c r="G8" i="3"/>
  <c r="F8" i="3"/>
  <c r="E8" i="3"/>
  <c r="D8" i="3"/>
  <c r="C8" i="3"/>
  <c r="B8" i="3"/>
  <c r="L7" i="3"/>
  <c r="I7" i="3"/>
  <c r="H7" i="3"/>
  <c r="G7" i="3"/>
  <c r="F7" i="3"/>
  <c r="E7" i="3"/>
  <c r="D7" i="3"/>
  <c r="C7" i="3"/>
  <c r="B7" i="3"/>
  <c r="L6" i="3"/>
  <c r="I6" i="3"/>
  <c r="H6" i="3"/>
  <c r="G6" i="3"/>
  <c r="F6" i="3"/>
  <c r="E6" i="3"/>
  <c r="D6" i="3"/>
  <c r="C6" i="3"/>
  <c r="B6" i="3"/>
  <c r="L5" i="3"/>
  <c r="I5" i="3"/>
  <c r="I10" i="3" s="1"/>
  <c r="H5" i="3"/>
  <c r="H10" i="3" s="1"/>
  <c r="G5" i="3"/>
  <c r="G10" i="3" s="1"/>
  <c r="F5" i="3"/>
  <c r="F10" i="3" s="1"/>
  <c r="E5" i="3"/>
  <c r="E10" i="3" s="1"/>
  <c r="D5" i="3"/>
  <c r="D10" i="3" s="1"/>
  <c r="C5" i="3"/>
  <c r="C10" i="3" s="1"/>
  <c r="B5" i="3"/>
  <c r="B10" i="3" s="1"/>
  <c r="L4" i="3"/>
  <c r="K10" i="2"/>
  <c r="K9" i="2"/>
  <c r="K8" i="2"/>
  <c r="H7" i="2"/>
  <c r="G7" i="2"/>
  <c r="F7" i="2"/>
  <c r="D7" i="2"/>
  <c r="C7" i="2"/>
  <c r="B7" i="2"/>
  <c r="K6" i="2"/>
  <c r="H6" i="2"/>
  <c r="G6" i="2"/>
  <c r="F6" i="2"/>
  <c r="D6" i="2"/>
  <c r="C6" i="2"/>
  <c r="B6" i="2"/>
  <c r="K5" i="2"/>
  <c r="H5" i="2"/>
  <c r="H8" i="2" s="1"/>
  <c r="G5" i="2"/>
  <c r="G8" i="2" s="1"/>
  <c r="F5" i="2"/>
  <c r="F8" i="2" s="1"/>
  <c r="D5" i="2"/>
  <c r="C5" i="2"/>
  <c r="C8" i="2" s="1"/>
  <c r="B5" i="2"/>
  <c r="B8" i="2" s="1"/>
  <c r="K4" i="2"/>
  <c r="D12" i="7" l="1"/>
  <c r="C12" i="7"/>
  <c r="D5" i="7"/>
  <c r="D8" i="2"/>
  <c r="E5" i="2"/>
  <c r="E6" i="2"/>
  <c r="E7" i="2"/>
  <c r="D18" i="7"/>
  <c r="C18" i="7"/>
  <c r="D19" i="7"/>
  <c r="D17" i="4"/>
  <c r="E14" i="4"/>
  <c r="E17" i="4" s="1"/>
  <c r="H10" i="5"/>
  <c r="C10" i="5"/>
  <c r="H5" i="5"/>
  <c r="F10" i="5"/>
  <c r="I10" i="5" s="1"/>
  <c r="I5" i="5"/>
  <c r="I6" i="5"/>
  <c r="I7" i="5"/>
  <c r="I8" i="5"/>
  <c r="I9" i="5"/>
  <c r="D20" i="7"/>
  <c r="C20" i="7"/>
  <c r="G5" i="7"/>
  <c r="C9" i="6"/>
  <c r="L8" i="6"/>
  <c r="F6" i="6"/>
  <c r="L10" i="6"/>
  <c r="D9" i="6"/>
  <c r="H6" i="6"/>
  <c r="E9" i="6"/>
  <c r="I6" i="6"/>
  <c r="F7" i="6"/>
  <c r="G7" i="6" s="1"/>
  <c r="H7" i="6"/>
  <c r="I7" i="6"/>
  <c r="F8" i="6"/>
  <c r="G8" i="6" s="1"/>
  <c r="H8" i="6"/>
  <c r="I8" i="6"/>
  <c r="C18" i="6"/>
  <c r="F13" i="6"/>
  <c r="D18" i="6"/>
  <c r="H13" i="6"/>
  <c r="E18" i="6"/>
  <c r="I13" i="6"/>
  <c r="F14" i="6"/>
  <c r="G14" i="6" s="1"/>
  <c r="H14" i="6"/>
  <c r="I14" i="6"/>
  <c r="F15" i="6"/>
  <c r="G15" i="6" s="1"/>
  <c r="H15" i="6"/>
  <c r="I15" i="6"/>
  <c r="F16" i="6"/>
  <c r="G16" i="6" s="1"/>
  <c r="H16" i="6"/>
  <c r="I16" i="6"/>
  <c r="F17" i="6"/>
  <c r="G17" i="6" s="1"/>
  <c r="H17" i="6"/>
  <c r="I17" i="6"/>
  <c r="F18" i="6" l="1"/>
  <c r="G13" i="6"/>
  <c r="G18" i="6"/>
  <c r="F9" i="6"/>
  <c r="L9" i="6"/>
  <c r="G6" i="6"/>
  <c r="G9" i="6"/>
  <c r="E8" i="2"/>
  <c r="D11" i="7"/>
  <c r="D10" i="7"/>
  <c r="C10" i="7"/>
  <c r="A5" i="7"/>
  <c r="D21" i="7" l="1"/>
  <c r="C21" i="7"/>
  <c r="J5" i="7"/>
  <c r="I9" i="6"/>
  <c r="H9" i="6"/>
  <c r="I18" i="6"/>
  <c r="H18" i="6"/>
</calcChain>
</file>

<file path=xl/sharedStrings.xml><?xml version="1.0" encoding="utf-8"?>
<sst xmlns="http://schemas.openxmlformats.org/spreadsheetml/2006/main" count="1214" uniqueCount="315">
  <si>
    <t>Product type</t>
  </si>
  <si>
    <t>SKU</t>
  </si>
  <si>
    <t>Price</t>
  </si>
  <si>
    <t>Availability</t>
  </si>
  <si>
    <t>Number of products sold</t>
  </si>
  <si>
    <t>Revenue generated</t>
  </si>
  <si>
    <t>Customer demographics</t>
  </si>
  <si>
    <t>Stock levels</t>
  </si>
  <si>
    <t>Lead times</t>
  </si>
  <si>
    <t>Order quantities</t>
  </si>
  <si>
    <t>Shipping times</t>
  </si>
  <si>
    <t>Shipping carriers</t>
  </si>
  <si>
    <t>Shipping costs</t>
  </si>
  <si>
    <t>Supplier name</t>
  </si>
  <si>
    <t>Location</t>
  </si>
  <si>
    <t>Lead time</t>
  </si>
  <si>
    <t>Production volumes</t>
  </si>
  <si>
    <t>Manufacturing lead time</t>
  </si>
  <si>
    <t>Manufacturing costs</t>
  </si>
  <si>
    <t>Inspection results</t>
  </si>
  <si>
    <t>Defect rates</t>
  </si>
  <si>
    <t>Transportation modes</t>
  </si>
  <si>
    <t>Routes</t>
  </si>
  <si>
    <t>Costs</t>
  </si>
  <si>
    <t>haircare</t>
  </si>
  <si>
    <t>SKU0</t>
  </si>
  <si>
    <t>Non-binary</t>
  </si>
  <si>
    <t>Carrier B</t>
  </si>
  <si>
    <t>Supplier 3</t>
  </si>
  <si>
    <t>Mumbai</t>
  </si>
  <si>
    <t>Pending</t>
  </si>
  <si>
    <t>Road</t>
  </si>
  <si>
    <t>Route B</t>
  </si>
  <si>
    <t>skincare</t>
  </si>
  <si>
    <t>SKU1</t>
  </si>
  <si>
    <t>Female</t>
  </si>
  <si>
    <t>Carrier A</t>
  </si>
  <si>
    <t>SKU2</t>
  </si>
  <si>
    <t>Unknown</t>
  </si>
  <si>
    <t>Supplier 1</t>
  </si>
  <si>
    <t>Air</t>
  </si>
  <si>
    <t>Route C</t>
  </si>
  <si>
    <t>SKU3</t>
  </si>
  <si>
    <t>Carrier C</t>
  </si>
  <si>
    <t>Supplier 5</t>
  </si>
  <si>
    <t>Kolkata</t>
  </si>
  <si>
    <t>Fail</t>
  </si>
  <si>
    <t>Rail</t>
  </si>
  <si>
    <t>Route A</t>
  </si>
  <si>
    <t>SKU4</t>
  </si>
  <si>
    <t>Delhi</t>
  </si>
  <si>
    <t>SKU5</t>
  </si>
  <si>
    <t>Supplier 4</t>
  </si>
  <si>
    <t>Bangalore</t>
  </si>
  <si>
    <t>SKU6</t>
  </si>
  <si>
    <t>Male</t>
  </si>
  <si>
    <t>Sea</t>
  </si>
  <si>
    <t>cosmetics</t>
  </si>
  <si>
    <t>SKU7</t>
  </si>
  <si>
    <t>SKU8</t>
  </si>
  <si>
    <t>SKU9</t>
  </si>
  <si>
    <t>Supplier 2</t>
  </si>
  <si>
    <t>Chennai</t>
  </si>
  <si>
    <t>SKU10</t>
  </si>
  <si>
    <t>Pass</t>
  </si>
  <si>
    <t>SKU11</t>
  </si>
  <si>
    <t>SKU12</t>
  </si>
  <si>
    <t>SKU13</t>
  </si>
  <si>
    <t>SKU14</t>
  </si>
  <si>
    <t>SKU15</t>
  </si>
  <si>
    <t>SKU16</t>
  </si>
  <si>
    <t>SKU17</t>
  </si>
  <si>
    <t>SKU18</t>
  </si>
  <si>
    <t>SKU19</t>
  </si>
  <si>
    <t>SKU20</t>
  </si>
  <si>
    <t>SKU21</t>
  </si>
  <si>
    <t>SKU22</t>
  </si>
  <si>
    <t>SKU23</t>
  </si>
  <si>
    <t>SKU24</t>
  </si>
  <si>
    <t>SKU25</t>
  </si>
  <si>
    <t>SKU26</t>
  </si>
  <si>
    <t>SKU27</t>
  </si>
  <si>
    <t>SKU28</t>
  </si>
  <si>
    <t>SKU29</t>
  </si>
  <si>
    <t>SKU30</t>
  </si>
  <si>
    <t>SKU31</t>
  </si>
  <si>
    <t>SKU32</t>
  </si>
  <si>
    <t>SKU33</t>
  </si>
  <si>
    <t>SKU34</t>
  </si>
  <si>
    <t>SKU35</t>
  </si>
  <si>
    <t>SKU36</t>
  </si>
  <si>
    <t>SKU37</t>
  </si>
  <si>
    <t>SKU38</t>
  </si>
  <si>
    <t>SKU39</t>
  </si>
  <si>
    <t>SKU40</t>
  </si>
  <si>
    <t>SKU41</t>
  </si>
  <si>
    <t>SKU42</t>
  </si>
  <si>
    <t>SKU43</t>
  </si>
  <si>
    <t>SKU44</t>
  </si>
  <si>
    <t>SKU45</t>
  </si>
  <si>
    <t>SKU46</t>
  </si>
  <si>
    <t>SKU47</t>
  </si>
  <si>
    <t>SKU48</t>
  </si>
  <si>
    <t>SKU49</t>
  </si>
  <si>
    <t>SKU50</t>
  </si>
  <si>
    <t>SKU51</t>
  </si>
  <si>
    <t>SKU52</t>
  </si>
  <si>
    <t>SKU53</t>
  </si>
  <si>
    <t>SKU54</t>
  </si>
  <si>
    <t>SKU55</t>
  </si>
  <si>
    <t>SKU56</t>
  </si>
  <si>
    <t>SKU57</t>
  </si>
  <si>
    <t>SKU58</t>
  </si>
  <si>
    <t>SKU59</t>
  </si>
  <si>
    <t>SKU60</t>
  </si>
  <si>
    <t>SKU61</t>
  </si>
  <si>
    <t>SKU62</t>
  </si>
  <si>
    <t>SKU63</t>
  </si>
  <si>
    <t>SKU64</t>
  </si>
  <si>
    <t>SKU65</t>
  </si>
  <si>
    <t>SKU66</t>
  </si>
  <si>
    <t>SKU67</t>
  </si>
  <si>
    <t>SKU68</t>
  </si>
  <si>
    <t>SKU69</t>
  </si>
  <si>
    <t>SKU70</t>
  </si>
  <si>
    <t>SKU71</t>
  </si>
  <si>
    <t>SKU72</t>
  </si>
  <si>
    <t>SKU73</t>
  </si>
  <si>
    <t>SKU74</t>
  </si>
  <si>
    <t>SKU75</t>
  </si>
  <si>
    <t>SKU76</t>
  </si>
  <si>
    <t>SKU77</t>
  </si>
  <si>
    <t>SKU78</t>
  </si>
  <si>
    <t>SKU79</t>
  </si>
  <si>
    <t>SKU80</t>
  </si>
  <si>
    <t>SKU81</t>
  </si>
  <si>
    <t>SKU82</t>
  </si>
  <si>
    <t>SKU83</t>
  </si>
  <si>
    <t>SKU84</t>
  </si>
  <si>
    <t>SKU85</t>
  </si>
  <si>
    <t>SKU86</t>
  </si>
  <si>
    <t>SKU87</t>
  </si>
  <si>
    <t>SKU88</t>
  </si>
  <si>
    <t>SKU89</t>
  </si>
  <si>
    <t>SKU90</t>
  </si>
  <si>
    <t>SKU91</t>
  </si>
  <si>
    <t>SKU92</t>
  </si>
  <si>
    <t>SKU93</t>
  </si>
  <si>
    <t>SKU94</t>
  </si>
  <si>
    <t>SKU95</t>
  </si>
  <si>
    <t>SKU96</t>
  </si>
  <si>
    <t>SKU97</t>
  </si>
  <si>
    <t>SKU98</t>
  </si>
  <si>
    <t>SKU99</t>
  </si>
  <si>
    <t>Revenue &amp; Sales Performance by Product Type</t>
  </si>
  <si>
    <t>Formulas used: SUMIF | AVERAGEIF | COUNTIF | Derived: Revenue Share = Group Revenue / SUM(All Revenue)</t>
  </si>
  <si>
    <t>Formula Reference</t>
  </si>
  <si>
    <t>Product Type</t>
  </si>
  <si>
    <t>No. of SKUs</t>
  </si>
  <si>
    <t>Units Sold</t>
  </si>
  <si>
    <t>Revenue ($)</t>
  </si>
  <si>
    <t>Revenue Share (%)</t>
  </si>
  <si>
    <t>Avg Price ($)</t>
  </si>
  <si>
    <t>Avg Defect Rate (%)</t>
  </si>
  <si>
    <t>Avg Lead Time (days)</t>
  </si>
  <si>
    <t>B5</t>
  </si>
  <si>
    <t>C5</t>
  </si>
  <si>
    <t>D5</t>
  </si>
  <si>
    <t>E5</t>
  </si>
  <si>
    <t>D5/SUM($D$5:$D$7)  &lt;- locked denominator</t>
  </si>
  <si>
    <t>TOTAL</t>
  </si>
  <si>
    <t>F5</t>
  </si>
  <si>
    <t>G5</t>
  </si>
  <si>
    <t>H5</t>
  </si>
  <si>
    <t>Supplier Performance Dashboard</t>
  </si>
  <si>
    <t>Formulas: AVERAGEIF | SUMIF | COUNTIFS (two-criteria) — Pass Rate = COUNTIFS(Supplier, Pass) / COUNTIF(Supplier)</t>
  </si>
  <si>
    <t>Supplier</t>
  </si>
  <si>
    <t>SKUs</t>
  </si>
  <si>
    <t>Avg Mfg Lead (days)</t>
  </si>
  <si>
    <t>Avg Mfg Cost ($)</t>
  </si>
  <si>
    <t>Total Production</t>
  </si>
  <si>
    <t>Insp. Pass Rate (%)</t>
  </si>
  <si>
    <t>Insp. Fail Rate (%)</t>
  </si>
  <si>
    <t>TOTAL / AVG</t>
  </si>
  <si>
    <t>I5</t>
  </si>
  <si>
    <t>Logistics &amp; Shipping Analysis</t>
  </si>
  <si>
    <t>Formulas: COUNTIF | AVERAGEIF | SUMIF across three dimension slices: Carrier, Mode, Route</t>
  </si>
  <si>
    <t>By Carrier</t>
  </si>
  <si>
    <t>By Transport Mode</t>
  </si>
  <si>
    <t>B6 (carrier)</t>
  </si>
  <si>
    <t>Carrier</t>
  </si>
  <si>
    <t>Shipments</t>
  </si>
  <si>
    <t>Avg Ship Time (days)</t>
  </si>
  <si>
    <t>Avg Ship Cost ($)</t>
  </si>
  <si>
    <t>Total Ship Cost ($)</t>
  </si>
  <si>
    <t>Mode</t>
  </si>
  <si>
    <t>Avg Total Cost ($)</t>
  </si>
  <si>
    <t>Total Cost ($)</t>
  </si>
  <si>
    <t>C6</t>
  </si>
  <si>
    <t>D6</t>
  </si>
  <si>
    <t>E6</t>
  </si>
  <si>
    <t>I6 (mode)</t>
  </si>
  <si>
    <t>K6</t>
  </si>
  <si>
    <t>E14 (route)</t>
  </si>
  <si>
    <t>SUMIF(RawData[Routes],A14,RawData[Costs])/D14  &lt;- Cost:Revenue</t>
  </si>
  <si>
    <t>By Route</t>
  </si>
  <si>
    <t>Route</t>
  </si>
  <si>
    <t>Avg Cost ($)</t>
  </si>
  <si>
    <t>Total Revenue ($)</t>
  </si>
  <si>
    <t>Cost-to-Revenue Ratio</t>
  </si>
  <si>
    <t>Location &amp; Inventory Performance</t>
  </si>
  <si>
    <t>Formulas: SUMIF | AVERAGEIF | COUNTIF — Note: 'Lead times' = operational; 'Lead time' = supplier</t>
  </si>
  <si>
    <t>Avg Stock Level</t>
  </si>
  <si>
    <t>Avg Availability (%)</t>
  </si>
  <si>
    <t>Avg Order Qty</t>
  </si>
  <si>
    <t>Stock-to-Order Ratio</t>
  </si>
  <si>
    <t>Revenue per SKU ($)</t>
  </si>
  <si>
    <t>AVERAGEIF(RawData[Location],A5,RawData[Lead times])</t>
  </si>
  <si>
    <t>H5 (derived)</t>
  </si>
  <si>
    <t>IFERROR(C5/G5,"-")  &lt;- Stock / Order Qty</t>
  </si>
  <si>
    <t>I5 (derived)</t>
  </si>
  <si>
    <t>IFERROR(F5/B5,"-")  &lt;- Revenue / SKU count</t>
  </si>
  <si>
    <t>Quality Control &amp; Defect Analysis</t>
  </si>
  <si>
    <t>Formulas: AVERAGEIF | COUNTIFS (two criteria: dimension + inspection result) | Derived: Pass Rate, Fail Rate, Pending Rate</t>
  </si>
  <si>
    <t>By Product Type</t>
  </si>
  <si>
    <t>B6</t>
  </si>
  <si>
    <t>Total SKUs</t>
  </si>
  <si>
    <t>Pass Rate (%)</t>
  </si>
  <si>
    <t>Fail Rate (%)</t>
  </si>
  <si>
    <t>Pending Rate (%)</t>
  </si>
  <si>
    <t>C6 (Pass)</t>
  </si>
  <si>
    <t>D6 (Fail)</t>
  </si>
  <si>
    <t>E6 (Pending)</t>
  </si>
  <si>
    <t>F6 (Total)</t>
  </si>
  <si>
    <t>G6 (Pass%)</t>
  </si>
  <si>
    <t>H6 (Fail%)</t>
  </si>
  <si>
    <t>By Supplier</t>
  </si>
  <si>
    <t>Supplier rows</t>
  </si>
  <si>
    <t>Same pattern — replace [Product type] with [Supplier name]</t>
  </si>
  <si>
    <t>SUPPLY CHAIN KPI DASHBOARD</t>
  </si>
  <si>
    <t>Reporting Period: [Enter Period]   |   Prepared by: [Name]   |   Date: [DD/MM/YYYY]</t>
  </si>
  <si>
    <t>Total Revenue</t>
  </si>
  <si>
    <t>Total Units Sold</t>
  </si>
  <si>
    <t>Overall Defect Rate</t>
  </si>
  <si>
    <t>Overall Pass Rate</t>
  </si>
  <si>
    <t>▲ vs prior period</t>
  </si>
  <si>
    <t>Key Performance Indicators — Live formulas linked to analysis sheets</t>
  </si>
  <si>
    <t>KPI</t>
  </si>
  <si>
    <t>Category</t>
  </si>
  <si>
    <t>Formula / Source</t>
  </si>
  <si>
    <t>Current Value</t>
  </si>
  <si>
    <t>Target</t>
  </si>
  <si>
    <t>Status</t>
  </si>
  <si>
    <t>Notes</t>
  </si>
  <si>
    <t>Financial</t>
  </si>
  <si>
    <t>$900,000</t>
  </si>
  <si>
    <t>✓ On Track</t>
  </si>
  <si>
    <t>Revenue / SKU count (live: Revenue by Product D8 / B8)</t>
  </si>
  <si>
    <t>$8,500</t>
  </si>
  <si>
    <t>Sales</t>
  </si>
  <si>
    <t>80,000</t>
  </si>
  <si>
    <t>● Monitor</t>
  </si>
  <si>
    <t>Avg Selling Price ($)</t>
  </si>
  <si>
    <t>$50.00</t>
  </si>
  <si>
    <t>Price variance vs target</t>
  </si>
  <si>
    <t>Inventory</t>
  </si>
  <si>
    <t>50+</t>
  </si>
  <si>
    <t>⚠ Below Target</t>
  </si>
  <si>
    <t>Review reorder points</t>
  </si>
  <si>
    <t>60%</t>
  </si>
  <si>
    <t>Low availability flagged</t>
  </si>
  <si>
    <t>Avg Order Quantity</t>
  </si>
  <si>
    <t>Procurement</t>
  </si>
  <si>
    <t>60</t>
  </si>
  <si>
    <t>15</t>
  </si>
  <si>
    <t>⚠ Above Target</t>
  </si>
  <si>
    <t>Lead time optimisation needed</t>
  </si>
  <si>
    <t>Avg Shipping Time (days)</t>
  </si>
  <si>
    <t>Logistics</t>
  </si>
  <si>
    <t>4</t>
  </si>
  <si>
    <t>Avg Shipping Cost ($)</t>
  </si>
  <si>
    <t>$8.00</t>
  </si>
  <si>
    <t>Quality</t>
  </si>
  <si>
    <t>&lt;2%</t>
  </si>
  <si>
    <t>Review Supplier 2 &amp; Supplier 4</t>
  </si>
  <si>
    <t>Inspection Pass Rate (%)</t>
  </si>
  <si>
    <t>40%</t>
  </si>
  <si>
    <t>Only 23% passing — critical</t>
  </si>
  <si>
    <t>Operations</t>
  </si>
  <si>
    <t>$40.00</t>
  </si>
  <si>
    <t>Avg Mfg Lead Time (days)</t>
  </si>
  <si>
    <t>20</t>
  </si>
  <si>
    <t>KEY FINDINGS &amp; RECOMMENDATIONS</t>
  </si>
  <si>
    <t>1. QUALITY — Inspection pass rate critically low (23%). Audit all suppliers; Supplier 2 &amp; 4 show highest defect rates.</t>
  </si>
  <si>
    <t>2. INVENTORY — Avg availability (48%) and stock (48 units) below targets. Review safety stock levels and reorder points.</t>
  </si>
  <si>
    <t>3. LEAD TIMES — Avg lead time 17.9 days exceeds 15-day target. Renegotiate with Supplier 3 or qualify backup suppliers.</t>
  </si>
  <si>
    <t>4. LOGISTICS — Air transport carries highest cost. Evaluate shifting Air volume to Road/Rail where SLAs allow.</t>
  </si>
  <si>
    <t>5. REVENUE — Skincare leads revenue (40 SKUs). Prioritise stock and quality investment in this product line.</t>
  </si>
  <si>
    <t>SUPPLY CHAIN MONTHLY REPORT</t>
  </si>
  <si>
    <t>Month: [MONTH YEAR]   |   Prepared by: [NAME]   |   Date: [DD/MM/YYYY]</t>
  </si>
  <si>
    <t>1. EXECUTIVE SUMMARY</t>
  </si>
  <si>
    <t>Provide a 3–5 sentence overview of supply chain performance for the period.</t>
  </si>
  <si>
    <t>2. REVENUE &amp; SALES</t>
  </si>
  <si>
    <t>Metric</t>
  </si>
  <si>
    <t>Prior Period</t>
  </si>
  <si>
    <t>This Period</t>
  </si>
  <si>
    <t>Variance</t>
  </si>
  <si>
    <t>3. INVENTORY &amp; STOCK</t>
  </si>
  <si>
    <t>4. QUALITY &amp; DEFECTS</t>
  </si>
  <si>
    <t>5. LOGISTICS &amp; SHIPPING</t>
  </si>
  <si>
    <t>6. SUPPLIER PERFORMANCE</t>
  </si>
  <si>
    <t>7. ISSUES &amp; RISKS</t>
  </si>
  <si>
    <t>List operational risks, supplier issues, or logistics disruptions observed this period.</t>
  </si>
  <si>
    <t>8. ACTIONS &amp; NEXT STEPS</t>
  </si>
  <si>
    <t>List agreed actions, owners, and due dates.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</si>
</sst>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.00"/>
    <numFmt numFmtId="165" formatCode="0.0%"/>
    <numFmt numFmtId="166" formatCode="0.0"/>
  </numFmts>
  <fonts count="2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9"/>
      <color rgb="FF000000"/>
      <name val="Arial"/>
      <charset val="1"/>
    </font>
    <font>
      <b/>
      <sz val="11"/>
      <color rgb="FFFFFFFF"/>
      <name val="Arial"/>
      <charset val="1"/>
    </font>
    <font>
      <i/>
      <sz val="9"/>
      <color rgb="FF7F7F7F"/>
      <name val="Arial"/>
      <charset val="1"/>
    </font>
    <font>
      <b/>
      <sz val="10"/>
      <color rgb="FF1F3864"/>
      <name val="Arial"/>
      <charset val="1"/>
    </font>
    <font>
      <b/>
      <sz val="9"/>
      <color rgb="FF2E75B6"/>
      <name val="Arial"/>
      <charset val="1"/>
    </font>
    <font>
      <sz val="10"/>
      <color rgb="FF000000"/>
      <name val="Arial"/>
      <charset val="1"/>
    </font>
    <font>
      <b/>
      <sz val="18"/>
      <color rgb="FFFFFFFF"/>
      <name val="Arial"/>
      <charset val="1"/>
    </font>
    <font>
      <i/>
      <sz val="10"/>
      <color rgb="FF7F7F7F"/>
      <name val="Arial"/>
      <charset val="1"/>
    </font>
    <font>
      <b/>
      <sz val="20"/>
      <color rgb="FF1F3864"/>
      <name val="Arial"/>
      <charset val="1"/>
    </font>
    <font>
      <b/>
      <sz val="20"/>
      <color rgb="FF2E75B6"/>
      <name val="Arial"/>
      <charset val="1"/>
    </font>
    <font>
      <b/>
      <sz val="20"/>
      <color rgb="FFE74C3C"/>
      <name val="Arial"/>
      <charset val="1"/>
    </font>
    <font>
      <b/>
      <sz val="20"/>
      <color rgb="FF27AE60"/>
      <name val="Arial"/>
      <charset val="1"/>
    </font>
    <font>
      <i/>
      <sz val="9"/>
      <color rgb="FF27AE60"/>
      <name val="Arial"/>
      <charset val="1"/>
    </font>
    <font>
      <sz val="9"/>
      <color rgb="FF505050"/>
      <name val="Arial"/>
      <charset val="1"/>
    </font>
    <font>
      <b/>
      <sz val="9"/>
      <color rgb="FF27500A"/>
      <name val="Arial"/>
      <charset val="1"/>
    </font>
    <font>
      <b/>
      <sz val="9"/>
      <color rgb="FF5D4E00"/>
      <name val="Arial"/>
      <charset val="1"/>
    </font>
    <font>
      <b/>
      <sz val="9"/>
      <color rgb="FF500000"/>
      <name val="Arial"/>
      <charset val="1"/>
    </font>
    <font>
      <b/>
      <sz val="16"/>
      <color rgb="FFFFFFFF"/>
      <name val="Arial"/>
      <charset val="1"/>
    </font>
    <font>
      <b/>
      <sz val="9"/>
      <color rgb="FFFFFFFF"/>
      <name val="Arial"/>
      <charset val="1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2C3E50"/>
      </patternFill>
    </fill>
    <fill>
      <patternFill patternType="solid">
        <fgColor rgb="FFEBF5FB"/>
        <bgColor rgb="FFF2F2F2"/>
      </patternFill>
    </fill>
    <fill>
      <patternFill patternType="solid">
        <fgColor rgb="FFFFFFFF"/>
        <bgColor rgb="FFF9F9F9"/>
      </patternFill>
    </fill>
    <fill>
      <patternFill patternType="solid">
        <fgColor rgb="FFF2F2F2"/>
        <bgColor rgb="FFEBF5FB"/>
      </patternFill>
    </fill>
    <fill>
      <patternFill patternType="solid">
        <fgColor rgb="FFD6E4F0"/>
        <bgColor rgb="FFD9D9D9"/>
      </patternFill>
    </fill>
    <fill>
      <patternFill patternType="solid">
        <fgColor rgb="FF2E75B6"/>
        <bgColor rgb="FF4F81BD"/>
      </patternFill>
    </fill>
    <fill>
      <patternFill patternType="solid">
        <fgColor rgb="FFE74C3C"/>
        <bgColor rgb="FFC0504D"/>
      </patternFill>
    </fill>
    <fill>
      <patternFill patternType="solid">
        <fgColor rgb="FF27AE60"/>
        <bgColor rgb="FF1ABC9C"/>
      </patternFill>
    </fill>
    <fill>
      <patternFill patternType="solid">
        <fgColor rgb="FF63BE7B"/>
        <bgColor rgb="FF9BBB59"/>
      </patternFill>
    </fill>
    <fill>
      <patternFill patternType="solid">
        <fgColor rgb="FFFFEB84"/>
        <bgColor rgb="FFFFCC99"/>
      </patternFill>
    </fill>
    <fill>
      <patternFill patternType="solid">
        <fgColor rgb="FFF8696B"/>
        <bgColor rgb="FFE74C3C"/>
      </patternFill>
    </fill>
    <fill>
      <patternFill patternType="solid">
        <fgColor rgb="FF7F7F7F"/>
        <bgColor rgb="FF878787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1F38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4" fontId="2" fillId="3" borderId="1" xfId="0" applyNumberFormat="1" applyFont="1" applyFill="1" applyBorder="1" applyAlignment="1">
      <alignment horizontal="left" vertical="center"/>
    </xf>
    <xf numFmtId="3" fontId="2" fillId="3" borderId="1" xfId="0" applyNumberFormat="1" applyFont="1" applyFill="1" applyBorder="1" applyAlignment="1">
      <alignment horizontal="left" vertical="center"/>
    </xf>
    <xf numFmtId="10" fontId="2" fillId="3" borderId="1" xfId="0" applyNumberFormat="1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4" fontId="2" fillId="4" borderId="1" xfId="0" applyNumberFormat="1" applyFont="1" applyFill="1" applyBorder="1" applyAlignment="1">
      <alignment horizontal="left" vertical="center"/>
    </xf>
    <xf numFmtId="3" fontId="2" fillId="4" borderId="1" xfId="0" applyNumberFormat="1" applyFont="1" applyFill="1" applyBorder="1" applyAlignment="1">
      <alignment horizontal="left" vertical="center"/>
    </xf>
    <xf numFmtId="10" fontId="2" fillId="4" borderId="1" xfId="0" applyNumberFormat="1" applyFont="1" applyFill="1" applyBorder="1" applyAlignment="1">
      <alignment horizontal="left" vertical="center"/>
    </xf>
    <xf numFmtId="0" fontId="5" fillId="0" borderId="0" xfId="0" applyFont="1" applyAlignment="1"/>
    <xf numFmtId="0" fontId="6" fillId="5" borderId="0" xfId="0" applyFont="1" applyFill="1" applyAlignment="1"/>
    <xf numFmtId="0" fontId="2" fillId="5" borderId="0" xfId="0" applyFont="1" applyFill="1" applyAlignment="1"/>
    <xf numFmtId="0" fontId="7" fillId="4" borderId="1" xfId="0" applyFont="1" applyFill="1" applyBorder="1" applyAlignment="1">
      <alignment horizontal="left" vertical="center"/>
    </xf>
    <xf numFmtId="3" fontId="7" fillId="4" borderId="1" xfId="0" applyNumberFormat="1" applyFont="1" applyFill="1" applyBorder="1" applyAlignment="1"/>
    <xf numFmtId="164" fontId="7" fillId="4" borderId="1" xfId="0" applyNumberFormat="1" applyFont="1" applyFill="1" applyBorder="1" applyAlignment="1"/>
    <xf numFmtId="165" fontId="7" fillId="4" borderId="1" xfId="0" applyNumberFormat="1" applyFont="1" applyFill="1" applyBorder="1" applyAlignment="1"/>
    <xf numFmtId="10" fontId="7" fillId="4" borderId="1" xfId="0" applyNumberFormat="1" applyFont="1" applyFill="1" applyBorder="1" applyAlignment="1"/>
    <xf numFmtId="166" fontId="7" fillId="4" borderId="1" xfId="0" applyNumberFormat="1" applyFont="1" applyFill="1" applyBorder="1" applyAlignment="1"/>
    <xf numFmtId="0" fontId="7" fillId="3" borderId="1" xfId="0" applyFont="1" applyFill="1" applyBorder="1" applyAlignment="1">
      <alignment horizontal="left" vertical="center"/>
    </xf>
    <xf numFmtId="3" fontId="7" fillId="3" borderId="1" xfId="0" applyNumberFormat="1" applyFont="1" applyFill="1" applyBorder="1" applyAlignment="1"/>
    <xf numFmtId="164" fontId="7" fillId="3" borderId="1" xfId="0" applyNumberFormat="1" applyFont="1" applyFill="1" applyBorder="1" applyAlignment="1"/>
    <xf numFmtId="165" fontId="7" fillId="3" borderId="1" xfId="0" applyNumberFormat="1" applyFont="1" applyFill="1" applyBorder="1" applyAlignment="1"/>
    <xf numFmtId="10" fontId="7" fillId="3" borderId="1" xfId="0" applyNumberFormat="1" applyFont="1" applyFill="1" applyBorder="1" applyAlignment="1"/>
    <xf numFmtId="166" fontId="7" fillId="3" borderId="1" xfId="0" applyNumberFormat="1" applyFont="1" applyFill="1" applyBorder="1" applyAlignment="1"/>
    <xf numFmtId="0" fontId="5" fillId="6" borderId="2" xfId="0" applyFont="1" applyFill="1" applyBorder="1" applyAlignment="1">
      <alignment horizontal="left" vertical="center"/>
    </xf>
    <xf numFmtId="3" fontId="5" fillId="6" borderId="2" xfId="0" applyNumberFormat="1" applyFont="1" applyFill="1" applyBorder="1" applyAlignment="1"/>
    <xf numFmtId="164" fontId="5" fillId="6" borderId="2" xfId="0" applyNumberFormat="1" applyFont="1" applyFill="1" applyBorder="1" applyAlignment="1"/>
    <xf numFmtId="165" fontId="5" fillId="6" borderId="2" xfId="0" applyNumberFormat="1" applyFont="1" applyFill="1" applyBorder="1" applyAlignment="1"/>
    <xf numFmtId="10" fontId="5" fillId="6" borderId="2" xfId="0" applyNumberFormat="1" applyFont="1" applyFill="1" applyBorder="1" applyAlignment="1"/>
    <xf numFmtId="166" fontId="5" fillId="6" borderId="2" xfId="0" applyNumberFormat="1" applyFont="1" applyFill="1" applyBorder="1" applyAlignment="1"/>
    <xf numFmtId="2" fontId="7" fillId="4" borderId="1" xfId="0" applyNumberFormat="1" applyFont="1" applyFill="1" applyBorder="1" applyAlignment="1"/>
    <xf numFmtId="2" fontId="7" fillId="3" borderId="1" xfId="0" applyNumberFormat="1" applyFont="1" applyFill="1" applyBorder="1" applyAlignment="1"/>
    <xf numFmtId="2" fontId="5" fillId="6" borderId="2" xfId="0" applyNumberFormat="1" applyFont="1" applyFill="1" applyBorder="1" applyAlignment="1"/>
    <xf numFmtId="164" fontId="15" fillId="3" borderId="1" xfId="0" applyNumberFormat="1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16" fillId="10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15" fillId="4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3" fontId="15" fillId="3" borderId="1" xfId="0" applyNumberFormat="1" applyFont="1" applyFill="1" applyBorder="1" applyAlignment="1">
      <alignment horizontal="left" vertical="center"/>
    </xf>
    <xf numFmtId="0" fontId="17" fillId="11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left" vertical="center"/>
    </xf>
    <xf numFmtId="0" fontId="18" fillId="12" borderId="1" xfId="0" applyFont="1" applyFill="1" applyBorder="1" applyAlignment="1">
      <alignment horizontal="center" vertical="center"/>
    </xf>
    <xf numFmtId="166" fontId="15" fillId="3" borderId="1" xfId="0" applyNumberFormat="1" applyFont="1" applyFill="1" applyBorder="1" applyAlignment="1">
      <alignment horizontal="left" vertical="center"/>
    </xf>
    <xf numFmtId="164" fontId="15" fillId="4" borderId="1" xfId="0" applyNumberFormat="1" applyFont="1" applyFill="1" applyBorder="1" applyAlignment="1">
      <alignment horizontal="left" vertical="center"/>
    </xf>
    <xf numFmtId="10" fontId="15" fillId="3" borderId="1" xfId="0" applyNumberFormat="1" applyFont="1" applyFill="1" applyBorder="1" applyAlignment="1">
      <alignment horizontal="left" vertical="center"/>
    </xf>
    <xf numFmtId="165" fontId="15" fillId="4" borderId="1" xfId="0" applyNumberFormat="1" applyFont="1" applyFill="1" applyBorder="1" applyAlignment="1">
      <alignment horizontal="left" vertical="center"/>
    </xf>
    <xf numFmtId="0" fontId="20" fillId="13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/>
    <xf numFmtId="0" fontId="7" fillId="4" borderId="1" xfId="0" applyFont="1" applyFill="1" applyBorder="1" applyAlignment="1"/>
    <xf numFmtId="0" fontId="3" fillId="2" borderId="1" xfId="0" applyFont="1" applyFill="1" applyBorder="1" applyAlignment="1">
      <alignment horizontal="left" vertical="center"/>
    </xf>
    <xf numFmtId="0" fontId="4" fillId="5" borderId="0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/>
    </xf>
    <xf numFmtId="0" fontId="8" fillId="2" borderId="0" xfId="0" applyFont="1" applyFill="1" applyBorder="1" applyAlignment="1">
      <alignment horizontal="center" vertical="center"/>
    </xf>
    <xf numFmtId="0" fontId="9" fillId="6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7" borderId="0" xfId="0" applyFont="1" applyFill="1" applyBorder="1" applyAlignment="1">
      <alignment horizontal="center" vertical="center"/>
    </xf>
    <xf numFmtId="0" fontId="1" fillId="8" borderId="0" xfId="0" applyFont="1" applyFill="1" applyBorder="1" applyAlignment="1">
      <alignment horizontal="center" vertical="center"/>
    </xf>
    <xf numFmtId="0" fontId="1" fillId="9" borderId="0" xfId="0" applyFont="1" applyFill="1" applyBorder="1" applyAlignment="1">
      <alignment horizontal="center" vertical="center"/>
    </xf>
    <xf numFmtId="164" fontId="10" fillId="5" borderId="0" xfId="0" applyNumberFormat="1" applyFont="1" applyFill="1" applyBorder="1" applyAlignment="1">
      <alignment horizontal="center" vertical="center"/>
    </xf>
    <xf numFmtId="3" fontId="11" fillId="5" borderId="0" xfId="0" applyNumberFormat="1" applyFont="1" applyFill="1" applyBorder="1" applyAlignment="1">
      <alignment horizontal="center" vertical="center"/>
    </xf>
    <xf numFmtId="10" fontId="12" fillId="5" borderId="0" xfId="0" applyNumberFormat="1" applyFont="1" applyFill="1" applyBorder="1" applyAlignment="1">
      <alignment horizontal="center" vertical="center"/>
    </xf>
    <xf numFmtId="165" fontId="13" fillId="5" borderId="0" xfId="0" applyNumberFormat="1" applyFont="1" applyFill="1" applyBorder="1" applyAlignment="1">
      <alignment horizontal="center" vertical="center"/>
    </xf>
    <xf numFmtId="0" fontId="14" fillId="5" borderId="0" xfId="0" applyFont="1" applyFill="1" applyBorder="1" applyAlignment="1">
      <alignment horizontal="center" vertical="center"/>
    </xf>
    <xf numFmtId="0" fontId="7" fillId="4" borderId="0" xfId="0" applyFont="1" applyFill="1" applyBorder="1" applyAlignment="1">
      <alignment horizontal="left" vertical="center" wrapText="1"/>
    </xf>
    <xf numFmtId="0" fontId="7" fillId="5" borderId="0" xfId="0" applyFont="1" applyFill="1" applyBorder="1" applyAlignment="1">
      <alignment horizontal="left" vertical="center" wrapText="1"/>
    </xf>
    <xf numFmtId="0" fontId="3" fillId="2" borderId="0" xfId="0" applyFont="1" applyFill="1" applyBorder="1" applyAlignment="1">
      <alignment horizontal="left" vertical="center"/>
    </xf>
    <xf numFmtId="0" fontId="19" fillId="2" borderId="0" xfId="0" applyFont="1" applyFill="1" applyBorder="1" applyAlignment="1">
      <alignment horizontal="center" vertical="center"/>
    </xf>
    <xf numFmtId="0" fontId="3" fillId="7" borderId="0" xfId="0" applyFont="1" applyFill="1" applyBorder="1" applyAlignment="1">
      <alignment horizontal="left" vertical="center"/>
    </xf>
    <xf numFmtId="0" fontId="9" fillId="5" borderId="0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500000"/>
      <rgbColor rgb="FF008000"/>
      <rgbColor rgb="FF000080"/>
      <rgbColor rgb="FF808000"/>
      <rgbColor rgb="FF800080"/>
      <rgbColor rgb="FF008080"/>
      <rgbColor rgb="FFCCCCCC"/>
      <rgbColor rgb="FF7F7F7F"/>
      <rgbColor rgb="FF9999FF"/>
      <rgbColor rgb="FFC0504D"/>
      <rgbColor rgb="FFF9F9F9"/>
      <rgbColor rgb="FFEBF5FB"/>
      <rgbColor rgb="FF660066"/>
      <rgbColor rgb="FFF8696B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F2F2F2"/>
      <rgbColor rgb="FFFFEB84"/>
      <rgbColor rgb="FF63BE7B"/>
      <rgbColor rgb="FFFF99CC"/>
      <rgbColor rgb="FFCC99FF"/>
      <rgbColor rgb="FFFFCC99"/>
      <rgbColor rgb="FF2E75B6"/>
      <rgbColor rgb="FF1ABC9C"/>
      <rgbColor rgb="FF9BBB59"/>
      <rgbColor rgb="FFFFCC00"/>
      <rgbColor rgb="FFF39C12"/>
      <rgbColor rgb="FFE74C3C"/>
      <rgbColor rgb="FF4F81BD"/>
      <rgbColor rgb="FF878787"/>
      <rgbColor rgb="FF1F3864"/>
      <rgbColor rgb="FF27AE60"/>
      <rgbColor rgb="FF003300"/>
      <rgbColor rgb="FF27500A"/>
      <rgbColor rgb="FF5D4E00"/>
      <rgbColor rgb="FF993366"/>
      <rgbColor rgb="FF505050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Revenue by Product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by Product'!D4</c:f>
              <c:strCache>
                <c:ptCount val="1"/>
                <c:pt idx="0">
                  <c:v>Revenue ($)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'Revenue by Product'!$A$5:$A$7</c:f>
              <c:strCache>
                <c:ptCount val="3"/>
                <c:pt idx="0">
                  <c:v>cosmetics</c:v>
                </c:pt>
                <c:pt idx="1">
                  <c:v>haircare</c:v>
                </c:pt>
                <c:pt idx="2">
                  <c:v>skincare</c:v>
                </c:pt>
              </c:strCache>
            </c:strRef>
          </c:cat>
          <c:val>
            <c:numRef>
              <c:f>'Revenue by Product'!$D$5:$D$7</c:f>
              <c:numCache>
                <c:formatCode>\$#,##0.00</c:formatCode>
                <c:ptCount val="3"/>
                <c:pt idx="0">
                  <c:v>161521.26599948315</c:v>
                </c:pt>
                <c:pt idx="1">
                  <c:v>174455.39060546231</c:v>
                </c:pt>
                <c:pt idx="2">
                  <c:v>241628.16213306325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06-461E-A28F-8E1CE7BEF2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3508786"/>
        <c:axId val="91539693"/>
      </c:barChart>
      <c:catAx>
        <c:axId val="3350878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1539693"/>
        <c:crosses val="autoZero"/>
        <c:auto val="1"/>
        <c:lblAlgn val="ctr"/>
        <c:lblOffset val="100"/>
        <c:noMultiLvlLbl val="0"/>
      </c:catAx>
      <c:valAx>
        <c:axId val="9153969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350878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Revenue Share by Product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'Revenue by Product'!D4</c:f>
              <c:strCache>
                <c:ptCount val="1"/>
                <c:pt idx="0">
                  <c:v>Revenue ($)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1AAE-4835-AC4F-03625C09B44E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1AAE-4835-AC4F-03625C09B44E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1AAE-4835-AC4F-03625C09B44E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AAE-4835-AC4F-03625C09B44E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AAE-4835-AC4F-03625C09B44E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AAE-4835-AC4F-03625C09B44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'Revenue by Product'!$A$5:$A$7</c:f>
              <c:strCache>
                <c:ptCount val="3"/>
                <c:pt idx="0">
                  <c:v>cosmetics</c:v>
                </c:pt>
                <c:pt idx="1">
                  <c:v>haircare</c:v>
                </c:pt>
                <c:pt idx="2">
                  <c:v>skincare</c:v>
                </c:pt>
              </c:strCache>
            </c:strRef>
          </c:cat>
          <c:val>
            <c:numRef>
              <c:f>'Revenue by Product'!$D$5:$D$7</c:f>
              <c:numCache>
                <c:formatCode>\$#,##0.00</c:formatCode>
                <c:ptCount val="3"/>
                <c:pt idx="0">
                  <c:v>161521.26599948315</c:v>
                </c:pt>
                <c:pt idx="1">
                  <c:v>174455.39060546231</c:v>
                </c:pt>
                <c:pt idx="2">
                  <c:v>241628.16213306325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AAE-4835-AC4F-03625C09B4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Avg Defect Rate by Supplier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'Supplier Performance'!F4</c:f>
              <c:strCache>
                <c:ptCount val="1"/>
                <c:pt idx="0">
                  <c:v>Avg Defect Rate (%)</c:v>
                </c:pt>
              </c:strCache>
            </c:strRef>
          </c:tx>
          <c:spPr>
            <a:solidFill>
              <a:srgbClr val="E74C3C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'Supplier Performance'!$A$5:$A$9</c:f>
              <c:strCache>
                <c:ptCount val="5"/>
                <c:pt idx="0">
                  <c:v>Supplier 1</c:v>
                </c:pt>
                <c:pt idx="1">
                  <c:v>Supplier 2</c:v>
                </c:pt>
                <c:pt idx="2">
                  <c:v>Supplier 3</c:v>
                </c:pt>
                <c:pt idx="3">
                  <c:v>Supplier 4</c:v>
                </c:pt>
                <c:pt idx="4">
                  <c:v>Supplier 5</c:v>
                </c:pt>
              </c:strCache>
            </c:strRef>
          </c:cat>
          <c:val>
            <c:numRef>
              <c:f>'Supplier Performance'!$F$5:$F$9</c:f>
              <c:numCache>
                <c:formatCode>0.00%</c:formatCode>
                <c:ptCount val="5"/>
                <c:pt idx="0">
                  <c:v>1.8036297116882534E-4</c:v>
                </c:pt>
                <c:pt idx="1">
                  <c:v>2.3627501450718821E-4</c:v>
                </c:pt>
                <c:pt idx="2">
                  <c:v>2.4657860307644703E-4</c:v>
                </c:pt>
                <c:pt idx="3">
                  <c:v>2.3373974005913402E-4</c:v>
                </c:pt>
                <c:pt idx="4">
                  <c:v>2.6654083441492003E-4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40-4493-AF5A-8DC9AF47CF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4400994"/>
        <c:axId val="4224629"/>
      </c:barChart>
      <c:catAx>
        <c:axId val="34400994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224629"/>
        <c:crosses val="autoZero"/>
        <c:auto val="1"/>
        <c:lblAlgn val="ctr"/>
        <c:lblOffset val="100"/>
        <c:noMultiLvlLbl val="0"/>
      </c:catAx>
      <c:valAx>
        <c:axId val="4224629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440099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Avg Cost by Transport Mode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'Logistics &amp; Shipping'!I5</c:f>
              <c:strCache>
                <c:ptCount val="1"/>
                <c:pt idx="0">
                  <c:v>Avg Total Cost ($)</c:v>
                </c:pt>
              </c:strCache>
            </c:strRef>
          </c:tx>
          <c:spPr>
            <a:solidFill>
              <a:srgbClr val="1ABC9C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'Logistics &amp; Shipping'!$G$6:$G$9</c:f>
              <c:strCache>
                <c:ptCount val="4"/>
                <c:pt idx="0">
                  <c:v>Air</c:v>
                </c:pt>
                <c:pt idx="1">
                  <c:v>Rail</c:v>
                </c:pt>
                <c:pt idx="2">
                  <c:v>Road</c:v>
                </c:pt>
                <c:pt idx="3">
                  <c:v>Sea</c:v>
                </c:pt>
              </c:strCache>
            </c:strRef>
          </c:cat>
          <c:val>
            <c:numRef>
              <c:f>'Logistics &amp; Shipping'!$I$6:$I$9</c:f>
              <c:numCache>
                <c:formatCode>\$#,##0.00</c:formatCode>
                <c:ptCount val="4"/>
                <c:pt idx="0">
                  <c:v>561.71259606206854</c:v>
                </c:pt>
                <c:pt idx="1">
                  <c:v>541.74755566184626</c:v>
                </c:pt>
                <c:pt idx="2">
                  <c:v>553.38598755844725</c:v>
                </c:pt>
                <c:pt idx="3">
                  <c:v>417.81914826315762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F4-4A0E-88B9-610FF5A75D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48822"/>
        <c:axId val="60934505"/>
      </c:barChart>
      <c:catAx>
        <c:axId val="4864882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0934505"/>
        <c:crosses val="autoZero"/>
        <c:auto val="1"/>
        <c:lblAlgn val="ctr"/>
        <c:lblOffset val="100"/>
        <c:noMultiLvlLbl val="0"/>
      </c:catAx>
      <c:valAx>
        <c:axId val="6093450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864882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Total Revenue by Location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'Location &amp; Inventory'!F4</c:f>
              <c:strCache>
                <c:ptCount val="1"/>
                <c:pt idx="0">
                  <c:v>Total Revenue ($)</c:v>
                </c:pt>
              </c:strCache>
            </c:strRef>
          </c:tx>
          <c:spPr>
            <a:solidFill>
              <a:srgbClr val="1F386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'Location &amp; Inventory'!$A$5:$A$9</c:f>
              <c:strCache>
                <c:ptCount val="5"/>
                <c:pt idx="0">
                  <c:v>Bangalore</c:v>
                </c:pt>
                <c:pt idx="1">
                  <c:v>Chennai</c:v>
                </c:pt>
                <c:pt idx="2">
                  <c:v>Delhi</c:v>
                </c:pt>
                <c:pt idx="3">
                  <c:v>Kolkata</c:v>
                </c:pt>
                <c:pt idx="4">
                  <c:v>Mumbai</c:v>
                </c:pt>
              </c:strCache>
            </c:strRef>
          </c:cat>
          <c:val>
            <c:numRef>
              <c:f>'Location &amp; Inventory'!$F$5:$F$9</c:f>
              <c:numCache>
                <c:formatCode>\$#,##0.00</c:formatCode>
                <c:ptCount val="5"/>
                <c:pt idx="0">
                  <c:v>102601.72388223578</c:v>
                </c:pt>
                <c:pt idx="1">
                  <c:v>119142.81574806941</c:v>
                </c:pt>
                <c:pt idx="2">
                  <c:v>81027.701224853023</c:v>
                </c:pt>
                <c:pt idx="3">
                  <c:v>137077.5510053811</c:v>
                </c:pt>
                <c:pt idx="4">
                  <c:v>137755.02687746938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B3-4153-8045-2BF54910EE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5995862"/>
        <c:axId val="64884614"/>
      </c:barChart>
      <c:catAx>
        <c:axId val="65995862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4884614"/>
        <c:crosses val="autoZero"/>
        <c:auto val="1"/>
        <c:lblAlgn val="ctr"/>
        <c:lblOffset val="100"/>
        <c:noMultiLvlLbl val="0"/>
      </c:catAx>
      <c:valAx>
        <c:axId val="64884614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599586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Defect Rate by Supplier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'Quality &amp; Defects'!B12</c:f>
              <c:strCache>
                <c:ptCount val="1"/>
                <c:pt idx="0">
                  <c:v>Avg Defect Rate (%)</c:v>
                </c:pt>
              </c:strCache>
            </c:strRef>
          </c:tx>
          <c:spPr>
            <a:solidFill>
              <a:srgbClr val="F39C1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'Quality &amp; Defects'!$A$13:$A$17</c:f>
              <c:strCache>
                <c:ptCount val="5"/>
                <c:pt idx="0">
                  <c:v>Supplier 1</c:v>
                </c:pt>
                <c:pt idx="1">
                  <c:v>Supplier 2</c:v>
                </c:pt>
                <c:pt idx="2">
                  <c:v>Supplier 3</c:v>
                </c:pt>
                <c:pt idx="3">
                  <c:v>Supplier 4</c:v>
                </c:pt>
                <c:pt idx="4">
                  <c:v>Supplier 5</c:v>
                </c:pt>
              </c:strCache>
            </c:strRef>
          </c:cat>
          <c:val>
            <c:numRef>
              <c:f>'Quality &amp; Defects'!$B$13:$B$17</c:f>
              <c:numCache>
                <c:formatCode>0.00%</c:formatCode>
                <c:ptCount val="5"/>
                <c:pt idx="0">
                  <c:v>1.8036297116882534E-4</c:v>
                </c:pt>
                <c:pt idx="1">
                  <c:v>2.3627501450718821E-4</c:v>
                </c:pt>
                <c:pt idx="2">
                  <c:v>2.4657860307644703E-4</c:v>
                </c:pt>
                <c:pt idx="3">
                  <c:v>2.3373974005913402E-4</c:v>
                </c:pt>
                <c:pt idx="4">
                  <c:v>2.6654083441492003E-4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8F-43E6-A215-70300E7F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2851409"/>
        <c:axId val="87619247"/>
      </c:barChart>
      <c:catAx>
        <c:axId val="82851409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7619247"/>
        <c:crosses val="autoZero"/>
        <c:auto val="1"/>
        <c:lblAlgn val="ctr"/>
        <c:lblOffset val="100"/>
        <c:noMultiLvlLbl val="0"/>
      </c:catAx>
      <c:valAx>
        <c:axId val="87619247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285140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0</xdr:rowOff>
    </xdr:from>
    <xdr:to>
      <xdr:col>5</xdr:col>
      <xdr:colOff>981000</xdr:colOff>
      <xdr:row>33</xdr:row>
      <xdr:rowOff>128160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247650</xdr:colOff>
      <xdr:row>11</xdr:row>
      <xdr:rowOff>0</xdr:rowOff>
    </xdr:from>
    <xdr:to>
      <xdr:col>10</xdr:col>
      <xdr:colOff>571485</xdr:colOff>
      <xdr:row>33</xdr:row>
      <xdr:rowOff>128160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  <a:ext uri="{147F2762-F138-4A5C-976F-8EAC2B608ADB}">
              <a16:predDERef xmlns:a16="http://schemas.microsoft.com/office/drawing/2014/main" pre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0</xdr:rowOff>
    </xdr:from>
    <xdr:to>
      <xdr:col>5</xdr:col>
      <xdr:colOff>558000</xdr:colOff>
      <xdr:row>37</xdr:row>
      <xdr:rowOff>106920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5</xdr:col>
      <xdr:colOff>261000</xdr:colOff>
      <xdr:row>39</xdr:row>
      <xdr:rowOff>148680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0</xdr:rowOff>
    </xdr:from>
    <xdr:to>
      <xdr:col>5</xdr:col>
      <xdr:colOff>699120</xdr:colOff>
      <xdr:row>35</xdr:row>
      <xdr:rowOff>127800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6</xdr:col>
      <xdr:colOff>402120</xdr:colOff>
      <xdr:row>41</xdr:row>
      <xdr:rowOff>127800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awData" displayName="RawData" ref="A1:X101" totalsRowShown="0">
  <autoFilter ref="A1:X101" xr:uid="{00000000-0009-0000-0100-000001000000}"/>
  <tableColumns count="24">
    <tableColumn id="1" xr3:uid="{00000000-0010-0000-0000-000001000000}" name="Product type"/>
    <tableColumn id="2" xr3:uid="{00000000-0010-0000-0000-000002000000}" name="SKU"/>
    <tableColumn id="3" xr3:uid="{00000000-0010-0000-0000-000003000000}" name="Price"/>
    <tableColumn id="4" xr3:uid="{00000000-0010-0000-0000-000004000000}" name="Availability"/>
    <tableColumn id="5" xr3:uid="{00000000-0010-0000-0000-000005000000}" name="Number of products sold"/>
    <tableColumn id="6" xr3:uid="{00000000-0010-0000-0000-000006000000}" name="Revenue generated"/>
    <tableColumn id="7" xr3:uid="{00000000-0010-0000-0000-000007000000}" name="Customer demographics"/>
    <tableColumn id="8" xr3:uid="{00000000-0010-0000-0000-000008000000}" name="Stock levels"/>
    <tableColumn id="9" xr3:uid="{00000000-0010-0000-0000-000009000000}" name="Lead times"/>
    <tableColumn id="10" xr3:uid="{00000000-0010-0000-0000-00000A000000}" name="Order quantities"/>
    <tableColumn id="11" xr3:uid="{00000000-0010-0000-0000-00000B000000}" name="Shipping times"/>
    <tableColumn id="12" xr3:uid="{00000000-0010-0000-0000-00000C000000}" name="Shipping carriers"/>
    <tableColumn id="13" xr3:uid="{00000000-0010-0000-0000-00000D000000}" name="Shipping costs"/>
    <tableColumn id="14" xr3:uid="{00000000-0010-0000-0000-00000E000000}" name="Supplier name"/>
    <tableColumn id="15" xr3:uid="{00000000-0010-0000-0000-00000F000000}" name="Location"/>
    <tableColumn id="16" xr3:uid="{00000000-0010-0000-0000-000010000000}" name="Lead time"/>
    <tableColumn id="17" xr3:uid="{00000000-0010-0000-0000-000011000000}" name="Production volumes"/>
    <tableColumn id="18" xr3:uid="{00000000-0010-0000-0000-000012000000}" name="Manufacturing lead time"/>
    <tableColumn id="19" xr3:uid="{00000000-0010-0000-0000-000013000000}" name="Manufacturing costs"/>
    <tableColumn id="20" xr3:uid="{00000000-0010-0000-0000-000014000000}" name="Inspection results"/>
    <tableColumn id="21" xr3:uid="{00000000-0010-0000-0000-000015000000}" name="Defect rates"/>
    <tableColumn id="22" xr3:uid="{00000000-0010-0000-0000-000016000000}" name="Transportation modes"/>
    <tableColumn id="23" xr3:uid="{00000000-0010-0000-0000-000017000000}" name="Routes"/>
    <tableColumn id="24" xr3:uid="{00000000-0010-0000-0000-000018000000}" name="Cost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F7F7F"/>
  </sheetPr>
  <dimension ref="A1:X101"/>
  <sheetViews>
    <sheetView showGridLines="0" tabSelected="1" zoomScaleNormal="100" workbookViewId="0">
      <pane xSplit="2" ySplit="1" topLeftCell="N2" activePane="bottomRight" state="frozen"/>
      <selection pane="bottomRight" activeCell="C2" sqref="C2"/>
      <selection pane="bottomLeft" activeCell="A2" sqref="A2"/>
      <selection pane="topRight" activeCell="C1" sqref="C1"/>
    </sheetView>
  </sheetViews>
  <sheetFormatPr defaultColWidth="8.7109375" defaultRowHeight="15"/>
  <cols>
    <col min="1" max="1" width="13" style="1" customWidth="1"/>
    <col min="2" max="2" width="8" style="1" customWidth="1"/>
    <col min="3" max="3" width="10" style="1" customWidth="1"/>
    <col min="4" max="4" width="13" style="1" customWidth="1"/>
    <col min="5" max="5" width="19" style="1" customWidth="1"/>
    <col min="6" max="6" width="18" style="1" customWidth="1"/>
    <col min="7" max="7" width="20" style="1" customWidth="1"/>
    <col min="8" max="8" width="12" style="1" customWidth="1"/>
    <col min="9" max="9" width="11" style="1" customWidth="1"/>
    <col min="10" max="10" width="16" style="1" customWidth="1"/>
    <col min="11" max="11" width="14" style="1" customWidth="1"/>
    <col min="12" max="12" width="18" style="1" customWidth="1"/>
    <col min="13" max="14" width="14" style="1" customWidth="1"/>
    <col min="15" max="16" width="11" style="1" customWidth="1"/>
    <col min="17" max="17" width="18" style="1" customWidth="1"/>
    <col min="18" max="18" width="22" style="1" customWidth="1"/>
    <col min="19" max="19" width="20" style="1" customWidth="1"/>
    <col min="20" max="20" width="18" style="1" customWidth="1"/>
    <col min="21" max="21" width="12" style="1" customWidth="1"/>
    <col min="22" max="22" width="20" style="1" customWidth="1"/>
    <col min="23" max="24" width="10" style="1" customWidth="1"/>
  </cols>
  <sheetData>
    <row r="1" spans="1:24" ht="3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ht="15" customHeight="1">
      <c r="A2" s="3" t="s">
        <v>24</v>
      </c>
      <c r="B2" s="3" t="s">
        <v>25</v>
      </c>
      <c r="C2" s="4">
        <v>69.808005542115794</v>
      </c>
      <c r="D2" s="3">
        <v>55</v>
      </c>
      <c r="E2" s="5">
        <v>802</v>
      </c>
      <c r="F2" s="4">
        <v>8661.9967923923796</v>
      </c>
      <c r="G2" s="3" t="s">
        <v>26</v>
      </c>
      <c r="H2" s="5">
        <v>58</v>
      </c>
      <c r="I2" s="5">
        <v>7</v>
      </c>
      <c r="J2" s="5">
        <v>96</v>
      </c>
      <c r="K2" s="5">
        <v>4</v>
      </c>
      <c r="L2" s="3" t="s">
        <v>27</v>
      </c>
      <c r="M2" s="4">
        <v>2.95657213943081</v>
      </c>
      <c r="N2" s="3" t="s">
        <v>28</v>
      </c>
      <c r="O2" s="3" t="s">
        <v>29</v>
      </c>
      <c r="P2" s="5">
        <v>29</v>
      </c>
      <c r="Q2" s="5">
        <v>215</v>
      </c>
      <c r="R2" s="5">
        <v>29</v>
      </c>
      <c r="S2" s="4">
        <v>46.279879240508301</v>
      </c>
      <c r="T2" s="3" t="s">
        <v>30</v>
      </c>
      <c r="U2" s="6">
        <v>2.2641036084992501E-3</v>
      </c>
      <c r="V2" s="3" t="s">
        <v>31</v>
      </c>
      <c r="W2" s="3" t="s">
        <v>32</v>
      </c>
      <c r="X2" s="4">
        <v>187.75207545920401</v>
      </c>
    </row>
    <row r="3" spans="1:24" ht="15" customHeight="1">
      <c r="A3" s="7" t="s">
        <v>33</v>
      </c>
      <c r="B3" s="7" t="s">
        <v>34</v>
      </c>
      <c r="C3" s="8">
        <v>14.8435232750843</v>
      </c>
      <c r="D3" s="7">
        <v>95</v>
      </c>
      <c r="E3" s="9">
        <v>736</v>
      </c>
      <c r="F3" s="8">
        <v>7460.9000654458496</v>
      </c>
      <c r="G3" s="7" t="s">
        <v>35</v>
      </c>
      <c r="H3" s="9">
        <v>53</v>
      </c>
      <c r="I3" s="9">
        <v>30</v>
      </c>
      <c r="J3" s="9">
        <v>37</v>
      </c>
      <c r="K3" s="9">
        <v>2</v>
      </c>
      <c r="L3" s="7" t="s">
        <v>36</v>
      </c>
      <c r="M3" s="8">
        <v>9.7165747714313095</v>
      </c>
      <c r="N3" s="7" t="s">
        <v>28</v>
      </c>
      <c r="O3" s="7" t="s">
        <v>29</v>
      </c>
      <c r="P3" s="9">
        <v>23</v>
      </c>
      <c r="Q3" s="9">
        <v>517</v>
      </c>
      <c r="R3" s="9">
        <v>30</v>
      </c>
      <c r="S3" s="8">
        <v>33.616768953730002</v>
      </c>
      <c r="T3" s="7" t="s">
        <v>30</v>
      </c>
      <c r="U3" s="10">
        <v>4.8540680263887102E-2</v>
      </c>
      <c r="V3" s="7" t="s">
        <v>31</v>
      </c>
      <c r="W3" s="7" t="s">
        <v>32</v>
      </c>
      <c r="X3" s="8">
        <v>503.06557914966902</v>
      </c>
    </row>
    <row r="4" spans="1:24" ht="15" customHeight="1">
      <c r="A4" s="3" t="s">
        <v>24</v>
      </c>
      <c r="B4" s="3" t="s">
        <v>37</v>
      </c>
      <c r="C4" s="4">
        <v>11.3196832930906</v>
      </c>
      <c r="D4" s="3">
        <v>34</v>
      </c>
      <c r="E4" s="5">
        <v>8</v>
      </c>
      <c r="F4" s="4">
        <v>9577.7496258687297</v>
      </c>
      <c r="G4" s="3" t="s">
        <v>38</v>
      </c>
      <c r="H4" s="5">
        <v>1</v>
      </c>
      <c r="I4" s="5">
        <v>10</v>
      </c>
      <c r="J4" s="5">
        <v>88</v>
      </c>
      <c r="K4" s="5">
        <v>2</v>
      </c>
      <c r="L4" s="3" t="s">
        <v>27</v>
      </c>
      <c r="M4" s="4">
        <v>8.0544792617321601</v>
      </c>
      <c r="N4" s="3" t="s">
        <v>39</v>
      </c>
      <c r="O4" s="3" t="s">
        <v>29</v>
      </c>
      <c r="P4" s="5">
        <v>12</v>
      </c>
      <c r="Q4" s="5">
        <v>971</v>
      </c>
      <c r="R4" s="5">
        <v>27</v>
      </c>
      <c r="S4" s="4">
        <v>30.6880193482842</v>
      </c>
      <c r="T4" s="3" t="s">
        <v>30</v>
      </c>
      <c r="U4" s="6">
        <v>4.5805926191992301E-2</v>
      </c>
      <c r="V4" s="3" t="s">
        <v>40</v>
      </c>
      <c r="W4" s="3" t="s">
        <v>41</v>
      </c>
      <c r="X4" s="4">
        <v>141.920281771519</v>
      </c>
    </row>
    <row r="5" spans="1:24" ht="15" customHeight="1">
      <c r="A5" s="7" t="s">
        <v>33</v>
      </c>
      <c r="B5" s="7" t="s">
        <v>42</v>
      </c>
      <c r="C5" s="8">
        <v>61.1633430164377</v>
      </c>
      <c r="D5" s="7">
        <v>68</v>
      </c>
      <c r="E5" s="9">
        <v>83</v>
      </c>
      <c r="F5" s="8">
        <v>7766.8364256852301</v>
      </c>
      <c r="G5" s="7" t="s">
        <v>26</v>
      </c>
      <c r="H5" s="9">
        <v>23</v>
      </c>
      <c r="I5" s="9">
        <v>13</v>
      </c>
      <c r="J5" s="9">
        <v>59</v>
      </c>
      <c r="K5" s="9">
        <v>6</v>
      </c>
      <c r="L5" s="7" t="s">
        <v>43</v>
      </c>
      <c r="M5" s="8">
        <v>1.7295685635434299</v>
      </c>
      <c r="N5" s="7" t="s">
        <v>44</v>
      </c>
      <c r="O5" s="7" t="s">
        <v>45</v>
      </c>
      <c r="P5" s="9">
        <v>24</v>
      </c>
      <c r="Q5" s="9">
        <v>937</v>
      </c>
      <c r="R5" s="9">
        <v>18</v>
      </c>
      <c r="S5" s="8">
        <v>35.624741397125</v>
      </c>
      <c r="T5" s="7" t="s">
        <v>46</v>
      </c>
      <c r="U5" s="10">
        <v>4.7466486206477497E-2</v>
      </c>
      <c r="V5" s="7" t="s">
        <v>47</v>
      </c>
      <c r="W5" s="7" t="s">
        <v>48</v>
      </c>
      <c r="X5" s="8">
        <v>254.776159219287</v>
      </c>
    </row>
    <row r="6" spans="1:24" ht="15" customHeight="1">
      <c r="A6" s="3" t="s">
        <v>33</v>
      </c>
      <c r="B6" s="3" t="s">
        <v>49</v>
      </c>
      <c r="C6" s="4">
        <v>4.8054960363458896</v>
      </c>
      <c r="D6" s="3">
        <v>26</v>
      </c>
      <c r="E6" s="5">
        <v>871</v>
      </c>
      <c r="F6" s="4">
        <v>2686.50515156745</v>
      </c>
      <c r="G6" s="3" t="s">
        <v>26</v>
      </c>
      <c r="H6" s="5">
        <v>5</v>
      </c>
      <c r="I6" s="5">
        <v>3</v>
      </c>
      <c r="J6" s="5">
        <v>56</v>
      </c>
      <c r="K6" s="5">
        <v>8</v>
      </c>
      <c r="L6" s="3" t="s">
        <v>36</v>
      </c>
      <c r="M6" s="4">
        <v>3.8905479158706702</v>
      </c>
      <c r="N6" s="3" t="s">
        <v>39</v>
      </c>
      <c r="O6" s="3" t="s">
        <v>50</v>
      </c>
      <c r="P6" s="5">
        <v>5</v>
      </c>
      <c r="Q6" s="5">
        <v>414</v>
      </c>
      <c r="R6" s="5">
        <v>3</v>
      </c>
      <c r="S6" s="4">
        <v>92.065160598712794</v>
      </c>
      <c r="T6" s="3" t="s">
        <v>46</v>
      </c>
      <c r="U6" s="6">
        <v>3.1455795228330002E-2</v>
      </c>
      <c r="V6" s="3" t="s">
        <v>40</v>
      </c>
      <c r="W6" s="3" t="s">
        <v>48</v>
      </c>
      <c r="X6" s="4">
        <v>923.44063171192204</v>
      </c>
    </row>
    <row r="7" spans="1:24" ht="15" customHeight="1">
      <c r="A7" s="7" t="s">
        <v>24</v>
      </c>
      <c r="B7" s="7" t="s">
        <v>51</v>
      </c>
      <c r="C7" s="8">
        <v>1.6999760138659401</v>
      </c>
      <c r="D7" s="7">
        <v>87</v>
      </c>
      <c r="E7" s="9">
        <v>147</v>
      </c>
      <c r="F7" s="8">
        <v>2828.3487459757598</v>
      </c>
      <c r="G7" s="7" t="s">
        <v>26</v>
      </c>
      <c r="H7" s="9">
        <v>90</v>
      </c>
      <c r="I7" s="9">
        <v>27</v>
      </c>
      <c r="J7" s="9">
        <v>66</v>
      </c>
      <c r="K7" s="9">
        <v>3</v>
      </c>
      <c r="L7" s="7" t="s">
        <v>27</v>
      </c>
      <c r="M7" s="8">
        <v>4.4440988643822896</v>
      </c>
      <c r="N7" s="7" t="s">
        <v>52</v>
      </c>
      <c r="O7" s="7" t="s">
        <v>53</v>
      </c>
      <c r="P7" s="9">
        <v>10</v>
      </c>
      <c r="Q7" s="9">
        <v>104</v>
      </c>
      <c r="R7" s="9">
        <v>17</v>
      </c>
      <c r="S7" s="8">
        <v>56.766475557431797</v>
      </c>
      <c r="T7" s="7" t="s">
        <v>46</v>
      </c>
      <c r="U7" s="10">
        <v>2.77919351157116E-2</v>
      </c>
      <c r="V7" s="7" t="s">
        <v>31</v>
      </c>
      <c r="W7" s="7" t="s">
        <v>48</v>
      </c>
      <c r="X7" s="8">
        <v>235.46123673553799</v>
      </c>
    </row>
    <row r="8" spans="1:24" ht="15" customHeight="1">
      <c r="A8" s="3" t="s">
        <v>33</v>
      </c>
      <c r="B8" s="3" t="s">
        <v>54</v>
      </c>
      <c r="C8" s="4">
        <v>4.0783328631079501</v>
      </c>
      <c r="D8" s="3">
        <v>48</v>
      </c>
      <c r="E8" s="5">
        <v>65</v>
      </c>
      <c r="F8" s="4">
        <v>7823.4765595317403</v>
      </c>
      <c r="G8" s="3" t="s">
        <v>55</v>
      </c>
      <c r="H8" s="5">
        <v>11</v>
      </c>
      <c r="I8" s="5">
        <v>15</v>
      </c>
      <c r="J8" s="5">
        <v>58</v>
      </c>
      <c r="K8" s="5">
        <v>8</v>
      </c>
      <c r="L8" s="3" t="s">
        <v>43</v>
      </c>
      <c r="M8" s="4">
        <v>3.8807633029519999</v>
      </c>
      <c r="N8" s="3" t="s">
        <v>28</v>
      </c>
      <c r="O8" s="3" t="s">
        <v>45</v>
      </c>
      <c r="P8" s="5">
        <v>14</v>
      </c>
      <c r="Q8" s="5">
        <v>314</v>
      </c>
      <c r="R8" s="5">
        <v>24</v>
      </c>
      <c r="S8" s="4">
        <v>1.0850685695870701</v>
      </c>
      <c r="T8" s="3" t="s">
        <v>30</v>
      </c>
      <c r="U8" s="6">
        <v>1.0009106193041401E-2</v>
      </c>
      <c r="V8" s="3" t="s">
        <v>56</v>
      </c>
      <c r="W8" s="3" t="s">
        <v>48</v>
      </c>
      <c r="X8" s="4">
        <v>134.36909686103201</v>
      </c>
    </row>
    <row r="9" spans="1:24" ht="15" customHeight="1">
      <c r="A9" s="7" t="s">
        <v>57</v>
      </c>
      <c r="B9" s="7" t="s">
        <v>58</v>
      </c>
      <c r="C9" s="8">
        <v>42.958384382460103</v>
      </c>
      <c r="D9" s="7">
        <v>59</v>
      </c>
      <c r="E9" s="9">
        <v>426</v>
      </c>
      <c r="F9" s="8">
        <v>8496.1038130898396</v>
      </c>
      <c r="G9" s="7" t="s">
        <v>35</v>
      </c>
      <c r="H9" s="9">
        <v>93</v>
      </c>
      <c r="I9" s="9">
        <v>17</v>
      </c>
      <c r="J9" s="9">
        <v>11</v>
      </c>
      <c r="K9" s="9">
        <v>1</v>
      </c>
      <c r="L9" s="7" t="s">
        <v>27</v>
      </c>
      <c r="M9" s="8">
        <v>2.3483387844177801</v>
      </c>
      <c r="N9" s="7" t="s">
        <v>52</v>
      </c>
      <c r="O9" s="7" t="s">
        <v>53</v>
      </c>
      <c r="P9" s="9">
        <v>22</v>
      </c>
      <c r="Q9" s="9">
        <v>564</v>
      </c>
      <c r="R9" s="9">
        <v>1</v>
      </c>
      <c r="S9" s="8">
        <v>99.466108603599096</v>
      </c>
      <c r="T9" s="7" t="s">
        <v>46</v>
      </c>
      <c r="U9" s="10">
        <v>3.98177186850651E-3</v>
      </c>
      <c r="V9" s="7" t="s">
        <v>31</v>
      </c>
      <c r="W9" s="7" t="s">
        <v>41</v>
      </c>
      <c r="X9" s="8">
        <v>802.05631181755905</v>
      </c>
    </row>
    <row r="10" spans="1:24" ht="15" customHeight="1">
      <c r="A10" s="3" t="s">
        <v>57</v>
      </c>
      <c r="B10" s="3" t="s">
        <v>59</v>
      </c>
      <c r="C10" s="4">
        <v>68.717596748527299</v>
      </c>
      <c r="D10" s="3">
        <v>78</v>
      </c>
      <c r="E10" s="5">
        <v>150</v>
      </c>
      <c r="F10" s="4">
        <v>7517.3632106311297</v>
      </c>
      <c r="G10" s="3" t="s">
        <v>35</v>
      </c>
      <c r="H10" s="5">
        <v>5</v>
      </c>
      <c r="I10" s="5">
        <v>10</v>
      </c>
      <c r="J10" s="5">
        <v>15</v>
      </c>
      <c r="K10" s="5">
        <v>7</v>
      </c>
      <c r="L10" s="3" t="s">
        <v>43</v>
      </c>
      <c r="M10" s="4">
        <v>3.4047338570830301</v>
      </c>
      <c r="N10" s="3" t="s">
        <v>52</v>
      </c>
      <c r="O10" s="3" t="s">
        <v>29</v>
      </c>
      <c r="P10" s="5">
        <v>13</v>
      </c>
      <c r="Q10" s="5">
        <v>769</v>
      </c>
      <c r="R10" s="5">
        <v>8</v>
      </c>
      <c r="S10" s="4">
        <v>11.423027139565701</v>
      </c>
      <c r="T10" s="3" t="s">
        <v>30</v>
      </c>
      <c r="U10" s="6">
        <v>2.7098626911099599E-2</v>
      </c>
      <c r="V10" s="3" t="s">
        <v>56</v>
      </c>
      <c r="W10" s="3" t="s">
        <v>32</v>
      </c>
      <c r="X10" s="4">
        <v>505.55713422546398</v>
      </c>
    </row>
    <row r="11" spans="1:24" ht="15" customHeight="1">
      <c r="A11" s="7" t="s">
        <v>33</v>
      </c>
      <c r="B11" s="7" t="s">
        <v>60</v>
      </c>
      <c r="C11" s="8">
        <v>64.0157329412785</v>
      </c>
      <c r="D11" s="7">
        <v>35</v>
      </c>
      <c r="E11" s="9">
        <v>980</v>
      </c>
      <c r="F11" s="8">
        <v>4971.1459875855599</v>
      </c>
      <c r="G11" s="7" t="s">
        <v>38</v>
      </c>
      <c r="H11" s="9">
        <v>14</v>
      </c>
      <c r="I11" s="9">
        <v>27</v>
      </c>
      <c r="J11" s="9">
        <v>83</v>
      </c>
      <c r="K11" s="9">
        <v>1</v>
      </c>
      <c r="L11" s="7" t="s">
        <v>36</v>
      </c>
      <c r="M11" s="8">
        <v>7.1666452910482201</v>
      </c>
      <c r="N11" s="7" t="s">
        <v>61</v>
      </c>
      <c r="O11" s="7" t="s">
        <v>62</v>
      </c>
      <c r="P11" s="9">
        <v>29</v>
      </c>
      <c r="Q11" s="9">
        <v>963</v>
      </c>
      <c r="R11" s="9">
        <v>23</v>
      </c>
      <c r="S11" s="8">
        <v>47.957601634951601</v>
      </c>
      <c r="T11" s="7" t="s">
        <v>30</v>
      </c>
      <c r="U11" s="10">
        <v>3.8446144787675898E-2</v>
      </c>
      <c r="V11" s="7" t="s">
        <v>47</v>
      </c>
      <c r="W11" s="7" t="s">
        <v>32</v>
      </c>
      <c r="X11" s="8">
        <v>995.92946149864201</v>
      </c>
    </row>
    <row r="12" spans="1:24" ht="15" customHeight="1">
      <c r="A12" s="3" t="s">
        <v>33</v>
      </c>
      <c r="B12" s="3" t="s">
        <v>63</v>
      </c>
      <c r="C12" s="4">
        <v>15.707795681912099</v>
      </c>
      <c r="D12" s="3">
        <v>11</v>
      </c>
      <c r="E12" s="5">
        <v>996</v>
      </c>
      <c r="F12" s="4">
        <v>2330.9658020919501</v>
      </c>
      <c r="G12" s="3" t="s">
        <v>26</v>
      </c>
      <c r="H12" s="5">
        <v>51</v>
      </c>
      <c r="I12" s="5">
        <v>13</v>
      </c>
      <c r="J12" s="5">
        <v>80</v>
      </c>
      <c r="K12" s="5">
        <v>2</v>
      </c>
      <c r="L12" s="3" t="s">
        <v>43</v>
      </c>
      <c r="M12" s="4">
        <v>8.6732112112786108</v>
      </c>
      <c r="N12" s="3" t="s">
        <v>44</v>
      </c>
      <c r="O12" s="3" t="s">
        <v>45</v>
      </c>
      <c r="P12" s="5">
        <v>18</v>
      </c>
      <c r="Q12" s="5">
        <v>830</v>
      </c>
      <c r="R12" s="5">
        <v>5</v>
      </c>
      <c r="S12" s="4">
        <v>96.527352785310896</v>
      </c>
      <c r="T12" s="3" t="s">
        <v>64</v>
      </c>
      <c r="U12" s="6">
        <v>1.7273139283559402E-2</v>
      </c>
      <c r="V12" s="3" t="s">
        <v>31</v>
      </c>
      <c r="W12" s="3" t="s">
        <v>32</v>
      </c>
      <c r="X12" s="4">
        <v>806.10317770292295</v>
      </c>
    </row>
    <row r="13" spans="1:24" ht="15" customHeight="1">
      <c r="A13" s="7" t="s">
        <v>33</v>
      </c>
      <c r="B13" s="7" t="s">
        <v>65</v>
      </c>
      <c r="C13" s="8">
        <v>90.635459982288694</v>
      </c>
      <c r="D13" s="7">
        <v>95</v>
      </c>
      <c r="E13" s="9">
        <v>960</v>
      </c>
      <c r="F13" s="8">
        <v>6099.9441155814502</v>
      </c>
      <c r="G13" s="7" t="s">
        <v>35</v>
      </c>
      <c r="H13" s="9">
        <v>46</v>
      </c>
      <c r="I13" s="9">
        <v>23</v>
      </c>
      <c r="J13" s="9">
        <v>60</v>
      </c>
      <c r="K13" s="9">
        <v>1</v>
      </c>
      <c r="L13" s="7" t="s">
        <v>36</v>
      </c>
      <c r="M13" s="8">
        <v>4.5239431243166601</v>
      </c>
      <c r="N13" s="7" t="s">
        <v>61</v>
      </c>
      <c r="O13" s="7" t="s">
        <v>45</v>
      </c>
      <c r="P13" s="9">
        <v>28</v>
      </c>
      <c r="Q13" s="9">
        <v>362</v>
      </c>
      <c r="R13" s="9">
        <v>11</v>
      </c>
      <c r="S13" s="8">
        <v>27.592363086663699</v>
      </c>
      <c r="T13" s="7" t="s">
        <v>30</v>
      </c>
      <c r="U13" s="10">
        <v>2.11698213729943E-4</v>
      </c>
      <c r="V13" s="7" t="s">
        <v>40</v>
      </c>
      <c r="W13" s="7" t="s">
        <v>48</v>
      </c>
      <c r="X13" s="8">
        <v>126.72303340940699</v>
      </c>
    </row>
    <row r="14" spans="1:24" ht="15" customHeight="1">
      <c r="A14" s="3" t="s">
        <v>24</v>
      </c>
      <c r="B14" s="3" t="s">
        <v>66</v>
      </c>
      <c r="C14" s="4">
        <v>71.213389075360098</v>
      </c>
      <c r="D14" s="3">
        <v>41</v>
      </c>
      <c r="E14" s="5">
        <v>336</v>
      </c>
      <c r="F14" s="4">
        <v>2873.74144602144</v>
      </c>
      <c r="G14" s="3" t="s">
        <v>38</v>
      </c>
      <c r="H14" s="5">
        <v>100</v>
      </c>
      <c r="I14" s="5">
        <v>30</v>
      </c>
      <c r="J14" s="5">
        <v>85</v>
      </c>
      <c r="K14" s="5">
        <v>4</v>
      </c>
      <c r="L14" s="3" t="s">
        <v>36</v>
      </c>
      <c r="M14" s="4">
        <v>1.32527401018452</v>
      </c>
      <c r="N14" s="3" t="s">
        <v>52</v>
      </c>
      <c r="O14" s="3" t="s">
        <v>45</v>
      </c>
      <c r="P14" s="5">
        <v>3</v>
      </c>
      <c r="Q14" s="5">
        <v>563</v>
      </c>
      <c r="R14" s="5">
        <v>3</v>
      </c>
      <c r="S14" s="4">
        <v>32.321286213424003</v>
      </c>
      <c r="T14" s="3" t="s">
        <v>46</v>
      </c>
      <c r="U14" s="6">
        <v>2.16125374755591E-2</v>
      </c>
      <c r="V14" s="3" t="s">
        <v>31</v>
      </c>
      <c r="W14" s="3" t="s">
        <v>32</v>
      </c>
      <c r="X14" s="4">
        <v>402.96878907377101</v>
      </c>
    </row>
    <row r="15" spans="1:24" ht="15" customHeight="1">
      <c r="A15" s="7" t="s">
        <v>33</v>
      </c>
      <c r="B15" s="7" t="s">
        <v>67</v>
      </c>
      <c r="C15" s="8">
        <v>16.160393317379999</v>
      </c>
      <c r="D15" s="7">
        <v>5</v>
      </c>
      <c r="E15" s="9">
        <v>249</v>
      </c>
      <c r="F15" s="8">
        <v>4052.7384162378698</v>
      </c>
      <c r="G15" s="7" t="s">
        <v>55</v>
      </c>
      <c r="H15" s="9">
        <v>80</v>
      </c>
      <c r="I15" s="9">
        <v>8</v>
      </c>
      <c r="J15" s="9">
        <v>48</v>
      </c>
      <c r="K15" s="9">
        <v>9</v>
      </c>
      <c r="L15" s="7" t="s">
        <v>36</v>
      </c>
      <c r="M15" s="8">
        <v>9.5372830611083401</v>
      </c>
      <c r="N15" s="7" t="s">
        <v>44</v>
      </c>
      <c r="O15" s="7" t="s">
        <v>53</v>
      </c>
      <c r="P15" s="9">
        <v>23</v>
      </c>
      <c r="Q15" s="9">
        <v>173</v>
      </c>
      <c r="R15" s="9">
        <v>10</v>
      </c>
      <c r="S15" s="8">
        <v>97.829050110173299</v>
      </c>
      <c r="T15" s="7" t="s">
        <v>30</v>
      </c>
      <c r="U15" s="10">
        <v>1.63107423007154E-2</v>
      </c>
      <c r="V15" s="7" t="s">
        <v>31</v>
      </c>
      <c r="W15" s="7" t="s">
        <v>32</v>
      </c>
      <c r="X15" s="8">
        <v>547.24100516096905</v>
      </c>
    </row>
    <row r="16" spans="1:24" ht="15" customHeight="1">
      <c r="A16" s="3" t="s">
        <v>33</v>
      </c>
      <c r="B16" s="3" t="s">
        <v>68</v>
      </c>
      <c r="C16" s="4">
        <v>99.171328638624203</v>
      </c>
      <c r="D16" s="3">
        <v>26</v>
      </c>
      <c r="E16" s="5">
        <v>562</v>
      </c>
      <c r="F16" s="4">
        <v>8653.5709264697998</v>
      </c>
      <c r="G16" s="3" t="s">
        <v>26</v>
      </c>
      <c r="H16" s="5">
        <v>54</v>
      </c>
      <c r="I16" s="5">
        <v>29</v>
      </c>
      <c r="J16" s="5">
        <v>78</v>
      </c>
      <c r="K16" s="5">
        <v>5</v>
      </c>
      <c r="L16" s="3" t="s">
        <v>27</v>
      </c>
      <c r="M16" s="4">
        <v>2.0397701894493299</v>
      </c>
      <c r="N16" s="3" t="s">
        <v>39</v>
      </c>
      <c r="O16" s="3" t="s">
        <v>45</v>
      </c>
      <c r="P16" s="5">
        <v>25</v>
      </c>
      <c r="Q16" s="5">
        <v>558</v>
      </c>
      <c r="R16" s="5">
        <v>14</v>
      </c>
      <c r="S16" s="4">
        <v>5.7914366298629902</v>
      </c>
      <c r="T16" s="3" t="s">
        <v>30</v>
      </c>
      <c r="U16" s="6">
        <v>1.0068285156509399E-3</v>
      </c>
      <c r="V16" s="3" t="s">
        <v>40</v>
      </c>
      <c r="W16" s="3" t="s">
        <v>32</v>
      </c>
      <c r="X16" s="4">
        <v>929.23528996088999</v>
      </c>
    </row>
    <row r="17" spans="1:24" ht="15" customHeight="1">
      <c r="A17" s="7" t="s">
        <v>33</v>
      </c>
      <c r="B17" s="7" t="s">
        <v>69</v>
      </c>
      <c r="C17" s="8">
        <v>36.989244928626903</v>
      </c>
      <c r="D17" s="7">
        <v>94</v>
      </c>
      <c r="E17" s="9">
        <v>469</v>
      </c>
      <c r="F17" s="8">
        <v>5442.0867853976697</v>
      </c>
      <c r="G17" s="7" t="s">
        <v>26</v>
      </c>
      <c r="H17" s="9">
        <v>9</v>
      </c>
      <c r="I17" s="9">
        <v>8</v>
      </c>
      <c r="J17" s="9">
        <v>69</v>
      </c>
      <c r="K17" s="9">
        <v>7</v>
      </c>
      <c r="L17" s="7" t="s">
        <v>27</v>
      </c>
      <c r="M17" s="8">
        <v>2.4220397232752</v>
      </c>
      <c r="N17" s="7" t="s">
        <v>39</v>
      </c>
      <c r="O17" s="7" t="s">
        <v>53</v>
      </c>
      <c r="P17" s="9">
        <v>14</v>
      </c>
      <c r="Q17" s="9">
        <v>580</v>
      </c>
      <c r="R17" s="9">
        <v>7</v>
      </c>
      <c r="S17" s="8">
        <v>97.121281751474299</v>
      </c>
      <c r="T17" s="7" t="s">
        <v>64</v>
      </c>
      <c r="U17" s="10">
        <v>2.2644057611985499E-2</v>
      </c>
      <c r="V17" s="7" t="s">
        <v>56</v>
      </c>
      <c r="W17" s="7" t="s">
        <v>32</v>
      </c>
      <c r="X17" s="8">
        <v>127.861800001625</v>
      </c>
    </row>
    <row r="18" spans="1:24" ht="15" customHeight="1">
      <c r="A18" s="3" t="s">
        <v>33</v>
      </c>
      <c r="B18" s="3" t="s">
        <v>70</v>
      </c>
      <c r="C18" s="4">
        <v>7.5471721097912701</v>
      </c>
      <c r="D18" s="3">
        <v>74</v>
      </c>
      <c r="E18" s="5">
        <v>280</v>
      </c>
      <c r="F18" s="4">
        <v>6453.7979681762899</v>
      </c>
      <c r="G18" s="3" t="s">
        <v>35</v>
      </c>
      <c r="H18" s="5">
        <v>2</v>
      </c>
      <c r="I18" s="5">
        <v>5</v>
      </c>
      <c r="J18" s="5">
        <v>78</v>
      </c>
      <c r="K18" s="5">
        <v>1</v>
      </c>
      <c r="L18" s="3" t="s">
        <v>27</v>
      </c>
      <c r="M18" s="4">
        <v>4.1913245857054999</v>
      </c>
      <c r="N18" s="3" t="s">
        <v>39</v>
      </c>
      <c r="O18" s="3" t="s">
        <v>53</v>
      </c>
      <c r="P18" s="5">
        <v>3</v>
      </c>
      <c r="Q18" s="5">
        <v>399</v>
      </c>
      <c r="R18" s="5">
        <v>21</v>
      </c>
      <c r="S18" s="4">
        <v>77.106342497849994</v>
      </c>
      <c r="T18" s="3" t="s">
        <v>64</v>
      </c>
      <c r="U18" s="6">
        <v>1.0125630892580499E-2</v>
      </c>
      <c r="V18" s="3" t="s">
        <v>40</v>
      </c>
      <c r="W18" s="3" t="s">
        <v>48</v>
      </c>
      <c r="X18" s="4">
        <v>865.52577977123997</v>
      </c>
    </row>
    <row r="19" spans="1:24" ht="15" customHeight="1">
      <c r="A19" s="7" t="s">
        <v>57</v>
      </c>
      <c r="B19" s="7" t="s">
        <v>71</v>
      </c>
      <c r="C19" s="8">
        <v>81.462534369237005</v>
      </c>
      <c r="D19" s="7">
        <v>82</v>
      </c>
      <c r="E19" s="9">
        <v>126</v>
      </c>
      <c r="F19" s="8">
        <v>2629.39643484526</v>
      </c>
      <c r="G19" s="7" t="s">
        <v>35</v>
      </c>
      <c r="H19" s="9">
        <v>45</v>
      </c>
      <c r="I19" s="9">
        <v>17</v>
      </c>
      <c r="J19" s="9">
        <v>85</v>
      </c>
      <c r="K19" s="9">
        <v>9</v>
      </c>
      <c r="L19" s="7" t="s">
        <v>43</v>
      </c>
      <c r="M19" s="8">
        <v>3.5854189582323399</v>
      </c>
      <c r="N19" s="7" t="s">
        <v>39</v>
      </c>
      <c r="O19" s="7" t="s">
        <v>62</v>
      </c>
      <c r="P19" s="9">
        <v>7</v>
      </c>
      <c r="Q19" s="9">
        <v>453</v>
      </c>
      <c r="R19" s="9">
        <v>16</v>
      </c>
      <c r="S19" s="8">
        <v>47.679680368355299</v>
      </c>
      <c r="T19" s="7" t="s">
        <v>46</v>
      </c>
      <c r="U19" s="10">
        <v>1.0202075491817599E-3</v>
      </c>
      <c r="V19" s="7" t="s">
        <v>40</v>
      </c>
      <c r="W19" s="7" t="s">
        <v>41</v>
      </c>
      <c r="X19" s="8">
        <v>670.93439079241</v>
      </c>
    </row>
    <row r="20" spans="1:24" ht="15" customHeight="1">
      <c r="A20" s="3" t="s">
        <v>24</v>
      </c>
      <c r="B20" s="3" t="s">
        <v>72</v>
      </c>
      <c r="C20" s="4">
        <v>36.4436277704609</v>
      </c>
      <c r="D20" s="3">
        <v>23</v>
      </c>
      <c r="E20" s="5">
        <v>620</v>
      </c>
      <c r="F20" s="4">
        <v>9364.6735050761708</v>
      </c>
      <c r="G20" s="3" t="s">
        <v>38</v>
      </c>
      <c r="H20" s="5">
        <v>10</v>
      </c>
      <c r="I20" s="5">
        <v>10</v>
      </c>
      <c r="J20" s="5">
        <v>46</v>
      </c>
      <c r="K20" s="5">
        <v>8</v>
      </c>
      <c r="L20" s="3" t="s">
        <v>43</v>
      </c>
      <c r="M20" s="4">
        <v>4.3392247141107099</v>
      </c>
      <c r="N20" s="3" t="s">
        <v>61</v>
      </c>
      <c r="O20" s="3" t="s">
        <v>45</v>
      </c>
      <c r="P20" s="5">
        <v>18</v>
      </c>
      <c r="Q20" s="5">
        <v>374</v>
      </c>
      <c r="R20" s="5">
        <v>17</v>
      </c>
      <c r="S20" s="4">
        <v>27.107980854843898</v>
      </c>
      <c r="T20" s="3" t="s">
        <v>30</v>
      </c>
      <c r="U20" s="6">
        <v>2.2319391107292599E-2</v>
      </c>
      <c r="V20" s="3" t="s">
        <v>56</v>
      </c>
      <c r="W20" s="3" t="s">
        <v>48</v>
      </c>
      <c r="X20" s="4">
        <v>593.48025872065205</v>
      </c>
    </row>
    <row r="21" spans="1:24" ht="15" customHeight="1">
      <c r="A21" s="7" t="s">
        <v>33</v>
      </c>
      <c r="B21" s="7" t="s">
        <v>73</v>
      </c>
      <c r="C21" s="8">
        <v>51.123870087964697</v>
      </c>
      <c r="D21" s="7">
        <v>100</v>
      </c>
      <c r="E21" s="9">
        <v>187</v>
      </c>
      <c r="F21" s="8">
        <v>2553.4955849912199</v>
      </c>
      <c r="G21" s="7" t="s">
        <v>38</v>
      </c>
      <c r="H21" s="9">
        <v>48</v>
      </c>
      <c r="I21" s="9">
        <v>11</v>
      </c>
      <c r="J21" s="9">
        <v>94</v>
      </c>
      <c r="K21" s="9">
        <v>3</v>
      </c>
      <c r="L21" s="7" t="s">
        <v>36</v>
      </c>
      <c r="M21" s="8">
        <v>4.7426358828418804</v>
      </c>
      <c r="N21" s="7" t="s">
        <v>52</v>
      </c>
      <c r="O21" s="7" t="s">
        <v>62</v>
      </c>
      <c r="P21" s="9">
        <v>20</v>
      </c>
      <c r="Q21" s="9">
        <v>694</v>
      </c>
      <c r="R21" s="9">
        <v>16</v>
      </c>
      <c r="S21" s="8">
        <v>82.373320587990193</v>
      </c>
      <c r="T21" s="7" t="s">
        <v>46</v>
      </c>
      <c r="U21" s="10">
        <v>3.6464508654170301E-2</v>
      </c>
      <c r="V21" s="7" t="s">
        <v>31</v>
      </c>
      <c r="W21" s="7" t="s">
        <v>41</v>
      </c>
      <c r="X21" s="8">
        <v>477.30763109090299</v>
      </c>
    </row>
    <row r="22" spans="1:24" ht="15" customHeight="1">
      <c r="A22" s="3" t="s">
        <v>33</v>
      </c>
      <c r="B22" s="3" t="s">
        <v>74</v>
      </c>
      <c r="C22" s="4">
        <v>96.341072439963398</v>
      </c>
      <c r="D22" s="3">
        <v>22</v>
      </c>
      <c r="E22" s="5">
        <v>320</v>
      </c>
      <c r="F22" s="4">
        <v>8128.0276968511898</v>
      </c>
      <c r="G22" s="3" t="s">
        <v>38</v>
      </c>
      <c r="H22" s="5">
        <v>27</v>
      </c>
      <c r="I22" s="5">
        <v>12</v>
      </c>
      <c r="J22" s="5">
        <v>68</v>
      </c>
      <c r="K22" s="5">
        <v>6</v>
      </c>
      <c r="L22" s="3" t="s">
        <v>36</v>
      </c>
      <c r="M22" s="4">
        <v>8.8783346509268402</v>
      </c>
      <c r="N22" s="3" t="s">
        <v>39</v>
      </c>
      <c r="O22" s="3" t="s">
        <v>62</v>
      </c>
      <c r="P22" s="5">
        <v>29</v>
      </c>
      <c r="Q22" s="5">
        <v>309</v>
      </c>
      <c r="R22" s="5">
        <v>6</v>
      </c>
      <c r="S22" s="4">
        <v>65.686259608488598</v>
      </c>
      <c r="T22" s="3" t="s">
        <v>64</v>
      </c>
      <c r="U22" s="6">
        <v>4.2314165735345403E-2</v>
      </c>
      <c r="V22" s="3" t="s">
        <v>40</v>
      </c>
      <c r="W22" s="3" t="s">
        <v>32</v>
      </c>
      <c r="X22" s="4">
        <v>493.87121531620602</v>
      </c>
    </row>
    <row r="23" spans="1:24" ht="15" customHeight="1">
      <c r="A23" s="7" t="s">
        <v>57</v>
      </c>
      <c r="B23" s="7" t="s">
        <v>75</v>
      </c>
      <c r="C23" s="8">
        <v>84.893868984950799</v>
      </c>
      <c r="D23" s="7">
        <v>60</v>
      </c>
      <c r="E23" s="9">
        <v>601</v>
      </c>
      <c r="F23" s="8">
        <v>7087.0526963574403</v>
      </c>
      <c r="G23" s="7" t="s">
        <v>38</v>
      </c>
      <c r="H23" s="9">
        <v>69</v>
      </c>
      <c r="I23" s="9">
        <v>25</v>
      </c>
      <c r="J23" s="9">
        <v>7</v>
      </c>
      <c r="K23" s="9">
        <v>6</v>
      </c>
      <c r="L23" s="7" t="s">
        <v>27</v>
      </c>
      <c r="M23" s="8">
        <v>6.0378837692182996</v>
      </c>
      <c r="N23" s="7" t="s">
        <v>44</v>
      </c>
      <c r="O23" s="7" t="s">
        <v>62</v>
      </c>
      <c r="P23" s="9">
        <v>19</v>
      </c>
      <c r="Q23" s="9">
        <v>791</v>
      </c>
      <c r="R23" s="9">
        <v>4</v>
      </c>
      <c r="S23" s="8">
        <v>61.735728954160898</v>
      </c>
      <c r="T23" s="7" t="s">
        <v>30</v>
      </c>
      <c r="U23" s="10">
        <v>1.8607567631014901E-4</v>
      </c>
      <c r="V23" s="7" t="s">
        <v>40</v>
      </c>
      <c r="W23" s="7" t="s">
        <v>41</v>
      </c>
      <c r="X23" s="8">
        <v>523.36091472015801</v>
      </c>
    </row>
    <row r="24" spans="1:24" ht="15" customHeight="1">
      <c r="A24" s="3" t="s">
        <v>24</v>
      </c>
      <c r="B24" s="3" t="s">
        <v>76</v>
      </c>
      <c r="C24" s="4">
        <v>27.679780886502002</v>
      </c>
      <c r="D24" s="3">
        <v>55</v>
      </c>
      <c r="E24" s="5">
        <v>884</v>
      </c>
      <c r="F24" s="4">
        <v>2390.8078665561702</v>
      </c>
      <c r="G24" s="3" t="s">
        <v>38</v>
      </c>
      <c r="H24" s="5">
        <v>71</v>
      </c>
      <c r="I24" s="5">
        <v>1</v>
      </c>
      <c r="J24" s="5">
        <v>63</v>
      </c>
      <c r="K24" s="5">
        <v>10</v>
      </c>
      <c r="L24" s="3" t="s">
        <v>36</v>
      </c>
      <c r="M24" s="4">
        <v>9.5676489209230393</v>
      </c>
      <c r="N24" s="3" t="s">
        <v>52</v>
      </c>
      <c r="O24" s="3" t="s">
        <v>45</v>
      </c>
      <c r="P24" s="5">
        <v>22</v>
      </c>
      <c r="Q24" s="5">
        <v>780</v>
      </c>
      <c r="R24" s="5">
        <v>28</v>
      </c>
      <c r="S24" s="4">
        <v>50.120839612977399</v>
      </c>
      <c r="T24" s="3" t="s">
        <v>46</v>
      </c>
      <c r="U24" s="6">
        <v>2.5912754732111201E-2</v>
      </c>
      <c r="V24" s="3" t="s">
        <v>47</v>
      </c>
      <c r="W24" s="3" t="s">
        <v>41</v>
      </c>
      <c r="X24" s="4">
        <v>205.57199582694699</v>
      </c>
    </row>
    <row r="25" spans="1:24" ht="15" customHeight="1">
      <c r="A25" s="7" t="s">
        <v>57</v>
      </c>
      <c r="B25" s="7" t="s">
        <v>77</v>
      </c>
      <c r="C25" s="8">
        <v>4.3243411858641601</v>
      </c>
      <c r="D25" s="7">
        <v>30</v>
      </c>
      <c r="E25" s="9">
        <v>391</v>
      </c>
      <c r="F25" s="8">
        <v>8858.3675710114803</v>
      </c>
      <c r="G25" s="7" t="s">
        <v>38</v>
      </c>
      <c r="H25" s="9">
        <v>84</v>
      </c>
      <c r="I25" s="9">
        <v>5</v>
      </c>
      <c r="J25" s="9">
        <v>29</v>
      </c>
      <c r="K25" s="9">
        <v>7</v>
      </c>
      <c r="L25" s="7" t="s">
        <v>36</v>
      </c>
      <c r="M25" s="8">
        <v>2.92485760114555</v>
      </c>
      <c r="N25" s="7" t="s">
        <v>44</v>
      </c>
      <c r="O25" s="7" t="s">
        <v>45</v>
      </c>
      <c r="P25" s="9">
        <v>11</v>
      </c>
      <c r="Q25" s="9">
        <v>568</v>
      </c>
      <c r="R25" s="9">
        <v>29</v>
      </c>
      <c r="S25" s="8">
        <v>98.609957242703899</v>
      </c>
      <c r="T25" s="7" t="s">
        <v>30</v>
      </c>
      <c r="U25" s="10">
        <v>1.34229156272273E-2</v>
      </c>
      <c r="V25" s="7" t="s">
        <v>47</v>
      </c>
      <c r="W25" s="7" t="s">
        <v>48</v>
      </c>
      <c r="X25" s="8">
        <v>196.329446112413</v>
      </c>
    </row>
    <row r="26" spans="1:24" ht="15" customHeight="1">
      <c r="A26" s="3" t="s">
        <v>24</v>
      </c>
      <c r="B26" s="3" t="s">
        <v>78</v>
      </c>
      <c r="C26" s="4">
        <v>4.1563083593111099</v>
      </c>
      <c r="D26" s="3">
        <v>32</v>
      </c>
      <c r="E26" s="5">
        <v>209</v>
      </c>
      <c r="F26" s="4">
        <v>9049.0778609399003</v>
      </c>
      <c r="G26" s="3" t="s">
        <v>55</v>
      </c>
      <c r="H26" s="5">
        <v>4</v>
      </c>
      <c r="I26" s="5">
        <v>26</v>
      </c>
      <c r="J26" s="5">
        <v>2</v>
      </c>
      <c r="K26" s="5">
        <v>8</v>
      </c>
      <c r="L26" s="3" t="s">
        <v>43</v>
      </c>
      <c r="M26" s="4">
        <v>9.7412916892843704</v>
      </c>
      <c r="N26" s="3" t="s">
        <v>61</v>
      </c>
      <c r="O26" s="3" t="s">
        <v>53</v>
      </c>
      <c r="P26" s="5">
        <v>28</v>
      </c>
      <c r="Q26" s="5">
        <v>447</v>
      </c>
      <c r="R26" s="5">
        <v>3</v>
      </c>
      <c r="S26" s="4">
        <v>40.382359702924802</v>
      </c>
      <c r="T26" s="3" t="s">
        <v>30</v>
      </c>
      <c r="U26" s="6">
        <v>3.69131029262873E-2</v>
      </c>
      <c r="V26" s="3" t="s">
        <v>40</v>
      </c>
      <c r="W26" s="3" t="s">
        <v>48</v>
      </c>
      <c r="X26" s="4">
        <v>758.72477260293795</v>
      </c>
    </row>
    <row r="27" spans="1:24" ht="15" customHeight="1">
      <c r="A27" s="7" t="s">
        <v>24</v>
      </c>
      <c r="B27" s="7" t="s">
        <v>79</v>
      </c>
      <c r="C27" s="8">
        <v>39.629343985092603</v>
      </c>
      <c r="D27" s="7">
        <v>73</v>
      </c>
      <c r="E27" s="9">
        <v>142</v>
      </c>
      <c r="F27" s="8">
        <v>2174.7770543506499</v>
      </c>
      <c r="G27" s="7" t="s">
        <v>55</v>
      </c>
      <c r="H27" s="9">
        <v>82</v>
      </c>
      <c r="I27" s="9">
        <v>11</v>
      </c>
      <c r="J27" s="9">
        <v>52</v>
      </c>
      <c r="K27" s="9">
        <v>3</v>
      </c>
      <c r="L27" s="7" t="s">
        <v>43</v>
      </c>
      <c r="M27" s="8">
        <v>2.23107368128173</v>
      </c>
      <c r="N27" s="7" t="s">
        <v>52</v>
      </c>
      <c r="O27" s="7" t="s">
        <v>45</v>
      </c>
      <c r="P27" s="9">
        <v>19</v>
      </c>
      <c r="Q27" s="9">
        <v>934</v>
      </c>
      <c r="R27" s="9">
        <v>23</v>
      </c>
      <c r="S27" s="8">
        <v>78.280383118415401</v>
      </c>
      <c r="T27" s="7" t="s">
        <v>30</v>
      </c>
      <c r="U27" s="10">
        <v>3.7972312171141803E-2</v>
      </c>
      <c r="V27" s="7" t="s">
        <v>31</v>
      </c>
      <c r="W27" s="7" t="s">
        <v>32</v>
      </c>
      <c r="X27" s="8">
        <v>458.53594573920901</v>
      </c>
    </row>
    <row r="28" spans="1:24" ht="15" customHeight="1">
      <c r="A28" s="3" t="s">
        <v>24</v>
      </c>
      <c r="B28" s="3" t="s">
        <v>80</v>
      </c>
      <c r="C28" s="4">
        <v>97.446946617892806</v>
      </c>
      <c r="D28" s="3">
        <v>9</v>
      </c>
      <c r="E28" s="5">
        <v>353</v>
      </c>
      <c r="F28" s="4">
        <v>3716.49332589404</v>
      </c>
      <c r="G28" s="3" t="s">
        <v>55</v>
      </c>
      <c r="H28" s="5">
        <v>59</v>
      </c>
      <c r="I28" s="5">
        <v>16</v>
      </c>
      <c r="J28" s="5">
        <v>48</v>
      </c>
      <c r="K28" s="5">
        <v>4</v>
      </c>
      <c r="L28" s="3" t="s">
        <v>27</v>
      </c>
      <c r="M28" s="4">
        <v>6.5075486210785503</v>
      </c>
      <c r="N28" s="3" t="s">
        <v>61</v>
      </c>
      <c r="O28" s="3" t="s">
        <v>53</v>
      </c>
      <c r="P28" s="5">
        <v>26</v>
      </c>
      <c r="Q28" s="5">
        <v>171</v>
      </c>
      <c r="R28" s="5">
        <v>4</v>
      </c>
      <c r="S28" s="4">
        <v>15.9722297571818</v>
      </c>
      <c r="T28" s="3" t="s">
        <v>64</v>
      </c>
      <c r="U28" s="6">
        <v>2.11931973672492E-2</v>
      </c>
      <c r="V28" s="3" t="s">
        <v>47</v>
      </c>
      <c r="W28" s="3" t="s">
        <v>48</v>
      </c>
      <c r="X28" s="4">
        <v>617.86691645837698</v>
      </c>
    </row>
    <row r="29" spans="1:24" ht="15" customHeight="1">
      <c r="A29" s="7" t="s">
        <v>57</v>
      </c>
      <c r="B29" s="7" t="s">
        <v>81</v>
      </c>
      <c r="C29" s="8">
        <v>92.557360812401996</v>
      </c>
      <c r="D29" s="7">
        <v>42</v>
      </c>
      <c r="E29" s="9">
        <v>352</v>
      </c>
      <c r="F29" s="8">
        <v>2686.4572235759802</v>
      </c>
      <c r="G29" s="7" t="s">
        <v>38</v>
      </c>
      <c r="H29" s="9">
        <v>47</v>
      </c>
      <c r="I29" s="9">
        <v>9</v>
      </c>
      <c r="J29" s="9">
        <v>62</v>
      </c>
      <c r="K29" s="9">
        <v>8</v>
      </c>
      <c r="L29" s="7" t="s">
        <v>43</v>
      </c>
      <c r="M29" s="8">
        <v>7.4067509529980704</v>
      </c>
      <c r="N29" s="7" t="s">
        <v>44</v>
      </c>
      <c r="O29" s="7" t="s">
        <v>29</v>
      </c>
      <c r="P29" s="9">
        <v>25</v>
      </c>
      <c r="Q29" s="9">
        <v>291</v>
      </c>
      <c r="R29" s="9">
        <v>4</v>
      </c>
      <c r="S29" s="8">
        <v>10.5282450700422</v>
      </c>
      <c r="T29" s="7" t="s">
        <v>46</v>
      </c>
      <c r="U29" s="10">
        <v>2.8646678378833699E-2</v>
      </c>
      <c r="V29" s="7" t="s">
        <v>56</v>
      </c>
      <c r="W29" s="7" t="s">
        <v>32</v>
      </c>
      <c r="X29" s="8">
        <v>762.45918215568395</v>
      </c>
    </row>
    <row r="30" spans="1:24" ht="15" customHeight="1">
      <c r="A30" s="3" t="s">
        <v>57</v>
      </c>
      <c r="B30" s="3" t="s">
        <v>82</v>
      </c>
      <c r="C30" s="4">
        <v>2.3972747055971402</v>
      </c>
      <c r="D30" s="3">
        <v>12</v>
      </c>
      <c r="E30" s="5">
        <v>394</v>
      </c>
      <c r="F30" s="4">
        <v>6117.3246150839896</v>
      </c>
      <c r="G30" s="3" t="s">
        <v>35</v>
      </c>
      <c r="H30" s="5">
        <v>48</v>
      </c>
      <c r="I30" s="5">
        <v>15</v>
      </c>
      <c r="J30" s="5">
        <v>24</v>
      </c>
      <c r="K30" s="5">
        <v>4</v>
      </c>
      <c r="L30" s="3" t="s">
        <v>27</v>
      </c>
      <c r="M30" s="4">
        <v>9.8981405080692202</v>
      </c>
      <c r="N30" s="3" t="s">
        <v>39</v>
      </c>
      <c r="O30" s="3" t="s">
        <v>29</v>
      </c>
      <c r="P30" s="5">
        <v>13</v>
      </c>
      <c r="Q30" s="5">
        <v>171</v>
      </c>
      <c r="R30" s="5">
        <v>7</v>
      </c>
      <c r="S30" s="4">
        <v>59.429381810691602</v>
      </c>
      <c r="T30" s="3" t="s">
        <v>46</v>
      </c>
      <c r="U30" s="6">
        <v>8.1575707929567205E-3</v>
      </c>
      <c r="V30" s="3" t="s">
        <v>40</v>
      </c>
      <c r="W30" s="3" t="s">
        <v>48</v>
      </c>
      <c r="X30" s="4">
        <v>123.437027511827</v>
      </c>
    </row>
    <row r="31" spans="1:24" ht="15" customHeight="1">
      <c r="A31" s="7" t="s">
        <v>57</v>
      </c>
      <c r="B31" s="7" t="s">
        <v>83</v>
      </c>
      <c r="C31" s="8">
        <v>63.447559185207297</v>
      </c>
      <c r="D31" s="7">
        <v>3</v>
      </c>
      <c r="E31" s="9">
        <v>253</v>
      </c>
      <c r="F31" s="8">
        <v>8318.9031946171799</v>
      </c>
      <c r="G31" s="7" t="s">
        <v>35</v>
      </c>
      <c r="H31" s="9">
        <v>45</v>
      </c>
      <c r="I31" s="9">
        <v>5</v>
      </c>
      <c r="J31" s="9">
        <v>67</v>
      </c>
      <c r="K31" s="9">
        <v>7</v>
      </c>
      <c r="L31" s="7" t="s">
        <v>27</v>
      </c>
      <c r="M31" s="8">
        <v>8.1009731453970293</v>
      </c>
      <c r="N31" s="7" t="s">
        <v>39</v>
      </c>
      <c r="O31" s="7" t="s">
        <v>45</v>
      </c>
      <c r="P31" s="9">
        <v>16</v>
      </c>
      <c r="Q31" s="9">
        <v>329</v>
      </c>
      <c r="R31" s="9">
        <v>7</v>
      </c>
      <c r="S31" s="8">
        <v>39.292875586065797</v>
      </c>
      <c r="T31" s="7" t="s">
        <v>64</v>
      </c>
      <c r="U31" s="10">
        <v>3.8780989365884901E-2</v>
      </c>
      <c r="V31" s="7" t="s">
        <v>31</v>
      </c>
      <c r="W31" s="7" t="s">
        <v>32</v>
      </c>
      <c r="X31" s="8">
        <v>764.93537594070801</v>
      </c>
    </row>
    <row r="32" spans="1:24" ht="15" customHeight="1">
      <c r="A32" s="3" t="s">
        <v>24</v>
      </c>
      <c r="B32" s="3" t="s">
        <v>84</v>
      </c>
      <c r="C32" s="4">
        <v>8.0228592105263896</v>
      </c>
      <c r="D32" s="3">
        <v>10</v>
      </c>
      <c r="E32" s="5">
        <v>327</v>
      </c>
      <c r="F32" s="4">
        <v>2766.3423668660898</v>
      </c>
      <c r="G32" s="3" t="s">
        <v>55</v>
      </c>
      <c r="H32" s="5">
        <v>60</v>
      </c>
      <c r="I32" s="5">
        <v>26</v>
      </c>
      <c r="J32" s="5">
        <v>35</v>
      </c>
      <c r="K32" s="5">
        <v>7</v>
      </c>
      <c r="L32" s="3" t="s">
        <v>27</v>
      </c>
      <c r="M32" s="4">
        <v>8.9545283153180204</v>
      </c>
      <c r="N32" s="3" t="s">
        <v>52</v>
      </c>
      <c r="O32" s="3" t="s">
        <v>45</v>
      </c>
      <c r="P32" s="5">
        <v>27</v>
      </c>
      <c r="Q32" s="5">
        <v>806</v>
      </c>
      <c r="R32" s="5">
        <v>30</v>
      </c>
      <c r="S32" s="4">
        <v>51.634893400109299</v>
      </c>
      <c r="T32" s="3" t="s">
        <v>30</v>
      </c>
      <c r="U32" s="6">
        <v>9.6539470535239296E-3</v>
      </c>
      <c r="V32" s="3" t="s">
        <v>31</v>
      </c>
      <c r="W32" s="3" t="s">
        <v>41</v>
      </c>
      <c r="X32" s="4">
        <v>880.08098824716103</v>
      </c>
    </row>
    <row r="33" spans="1:24" ht="15" customHeight="1">
      <c r="A33" s="7" t="s">
        <v>33</v>
      </c>
      <c r="B33" s="7" t="s">
        <v>85</v>
      </c>
      <c r="C33" s="8">
        <v>50.847393051718697</v>
      </c>
      <c r="D33" s="7">
        <v>28</v>
      </c>
      <c r="E33" s="9">
        <v>168</v>
      </c>
      <c r="F33" s="8">
        <v>9655.1351027193996</v>
      </c>
      <c r="G33" s="7" t="s">
        <v>55</v>
      </c>
      <c r="H33" s="9">
        <v>6</v>
      </c>
      <c r="I33" s="9">
        <v>17</v>
      </c>
      <c r="J33" s="9">
        <v>44</v>
      </c>
      <c r="K33" s="9">
        <v>4</v>
      </c>
      <c r="L33" s="7" t="s">
        <v>27</v>
      </c>
      <c r="M33" s="8">
        <v>2.67966096498141</v>
      </c>
      <c r="N33" s="7" t="s">
        <v>28</v>
      </c>
      <c r="O33" s="7" t="s">
        <v>62</v>
      </c>
      <c r="P33" s="9">
        <v>24</v>
      </c>
      <c r="Q33" s="9">
        <v>461</v>
      </c>
      <c r="R33" s="9">
        <v>8</v>
      </c>
      <c r="S33" s="8">
        <v>60.251145661598102</v>
      </c>
      <c r="T33" s="7" t="s">
        <v>30</v>
      </c>
      <c r="U33" s="10">
        <v>2.9890000066550799E-2</v>
      </c>
      <c r="V33" s="7" t="s">
        <v>47</v>
      </c>
      <c r="W33" s="7" t="s">
        <v>41</v>
      </c>
      <c r="X33" s="8">
        <v>609.37920661842702</v>
      </c>
    </row>
    <row r="34" spans="1:24" ht="15" customHeight="1">
      <c r="A34" s="3" t="s">
        <v>33</v>
      </c>
      <c r="B34" s="3" t="s">
        <v>86</v>
      </c>
      <c r="C34" s="4">
        <v>79.209936015656695</v>
      </c>
      <c r="D34" s="3">
        <v>43</v>
      </c>
      <c r="E34" s="5">
        <v>781</v>
      </c>
      <c r="F34" s="4">
        <v>9571.5504873278205</v>
      </c>
      <c r="G34" s="3" t="s">
        <v>38</v>
      </c>
      <c r="H34" s="5">
        <v>89</v>
      </c>
      <c r="I34" s="5">
        <v>13</v>
      </c>
      <c r="J34" s="5">
        <v>64</v>
      </c>
      <c r="K34" s="5">
        <v>4</v>
      </c>
      <c r="L34" s="3" t="s">
        <v>43</v>
      </c>
      <c r="M34" s="4">
        <v>6.5991049012385803</v>
      </c>
      <c r="N34" s="3" t="s">
        <v>28</v>
      </c>
      <c r="O34" s="3" t="s">
        <v>45</v>
      </c>
      <c r="P34" s="5">
        <v>30</v>
      </c>
      <c r="Q34" s="5">
        <v>737</v>
      </c>
      <c r="R34" s="5">
        <v>7</v>
      </c>
      <c r="S34" s="4">
        <v>29.692467153749799</v>
      </c>
      <c r="T34" s="3" t="s">
        <v>64</v>
      </c>
      <c r="U34" s="6">
        <v>1.94603611938611E-2</v>
      </c>
      <c r="V34" s="3" t="s">
        <v>31</v>
      </c>
      <c r="W34" s="3" t="s">
        <v>48</v>
      </c>
      <c r="X34" s="4">
        <v>761.17390951487801</v>
      </c>
    </row>
    <row r="35" spans="1:24" ht="15" customHeight="1">
      <c r="A35" s="7" t="s">
        <v>57</v>
      </c>
      <c r="B35" s="7" t="s">
        <v>87</v>
      </c>
      <c r="C35" s="8">
        <v>64.795435000155607</v>
      </c>
      <c r="D35" s="7">
        <v>63</v>
      </c>
      <c r="E35" s="9">
        <v>616</v>
      </c>
      <c r="F35" s="8">
        <v>5149.9983504080401</v>
      </c>
      <c r="G35" s="7" t="s">
        <v>26</v>
      </c>
      <c r="H35" s="9">
        <v>4</v>
      </c>
      <c r="I35" s="9">
        <v>17</v>
      </c>
      <c r="J35" s="9">
        <v>95</v>
      </c>
      <c r="K35" s="9">
        <v>9</v>
      </c>
      <c r="L35" s="7" t="s">
        <v>43</v>
      </c>
      <c r="M35" s="8">
        <v>4.85827050343664</v>
      </c>
      <c r="N35" s="7" t="s">
        <v>44</v>
      </c>
      <c r="O35" s="7" t="s">
        <v>62</v>
      </c>
      <c r="P35" s="9">
        <v>1</v>
      </c>
      <c r="Q35" s="9">
        <v>251</v>
      </c>
      <c r="R35" s="9">
        <v>23</v>
      </c>
      <c r="S35" s="8">
        <v>23.853427512896101</v>
      </c>
      <c r="T35" s="7" t="s">
        <v>46</v>
      </c>
      <c r="U35" s="10">
        <v>3.5410460122509202E-2</v>
      </c>
      <c r="V35" s="7" t="s">
        <v>56</v>
      </c>
      <c r="W35" s="7" t="s">
        <v>48</v>
      </c>
      <c r="X35" s="8">
        <v>371.25529551987103</v>
      </c>
    </row>
    <row r="36" spans="1:24" ht="15" customHeight="1">
      <c r="A36" s="3" t="s">
        <v>33</v>
      </c>
      <c r="B36" s="3" t="s">
        <v>88</v>
      </c>
      <c r="C36" s="4">
        <v>37.467592329842503</v>
      </c>
      <c r="D36" s="3">
        <v>96</v>
      </c>
      <c r="E36" s="5">
        <v>602</v>
      </c>
      <c r="F36" s="4">
        <v>9061.7108955077201</v>
      </c>
      <c r="G36" s="3" t="s">
        <v>38</v>
      </c>
      <c r="H36" s="5">
        <v>1</v>
      </c>
      <c r="I36" s="5">
        <v>26</v>
      </c>
      <c r="J36" s="5">
        <v>21</v>
      </c>
      <c r="K36" s="5">
        <v>7</v>
      </c>
      <c r="L36" s="3" t="s">
        <v>36</v>
      </c>
      <c r="M36" s="4">
        <v>1.01948757082212</v>
      </c>
      <c r="N36" s="3" t="s">
        <v>39</v>
      </c>
      <c r="O36" s="3" t="s">
        <v>62</v>
      </c>
      <c r="P36" s="5">
        <v>4</v>
      </c>
      <c r="Q36" s="5">
        <v>452</v>
      </c>
      <c r="R36" s="5">
        <v>10</v>
      </c>
      <c r="S36" s="4">
        <v>10.754272815029299</v>
      </c>
      <c r="T36" s="3" t="s">
        <v>64</v>
      </c>
      <c r="U36" s="6">
        <v>6.4660455937205503E-3</v>
      </c>
      <c r="V36" s="3" t="s">
        <v>31</v>
      </c>
      <c r="W36" s="3" t="s">
        <v>32</v>
      </c>
      <c r="X36" s="4">
        <v>510.35800043352401</v>
      </c>
    </row>
    <row r="37" spans="1:24" ht="15" customHeight="1">
      <c r="A37" s="7" t="s">
        <v>57</v>
      </c>
      <c r="B37" s="7" t="s">
        <v>89</v>
      </c>
      <c r="C37" s="8">
        <v>84.957786816350406</v>
      </c>
      <c r="D37" s="7">
        <v>11</v>
      </c>
      <c r="E37" s="9">
        <v>449</v>
      </c>
      <c r="F37" s="8">
        <v>6541.3293448024697</v>
      </c>
      <c r="G37" s="7" t="s">
        <v>35</v>
      </c>
      <c r="H37" s="9">
        <v>42</v>
      </c>
      <c r="I37" s="9">
        <v>27</v>
      </c>
      <c r="J37" s="9">
        <v>85</v>
      </c>
      <c r="K37" s="9">
        <v>8</v>
      </c>
      <c r="L37" s="7" t="s">
        <v>43</v>
      </c>
      <c r="M37" s="8">
        <v>5.2881899903274103</v>
      </c>
      <c r="N37" s="7" t="s">
        <v>39</v>
      </c>
      <c r="O37" s="7" t="s">
        <v>50</v>
      </c>
      <c r="P37" s="9">
        <v>3</v>
      </c>
      <c r="Q37" s="9">
        <v>367</v>
      </c>
      <c r="R37" s="9">
        <v>2</v>
      </c>
      <c r="S37" s="8">
        <v>58.0047870447438</v>
      </c>
      <c r="T37" s="7" t="s">
        <v>64</v>
      </c>
      <c r="U37" s="10">
        <v>5.4115409806058104E-3</v>
      </c>
      <c r="V37" s="7" t="s">
        <v>56</v>
      </c>
      <c r="W37" s="7" t="s">
        <v>41</v>
      </c>
      <c r="X37" s="8">
        <v>553.42047123035604</v>
      </c>
    </row>
    <row r="38" spans="1:24" ht="15" customHeight="1">
      <c r="A38" s="3" t="s">
        <v>33</v>
      </c>
      <c r="B38" s="3" t="s">
        <v>90</v>
      </c>
      <c r="C38" s="4">
        <v>9.81300257875405</v>
      </c>
      <c r="D38" s="3">
        <v>34</v>
      </c>
      <c r="E38" s="5">
        <v>963</v>
      </c>
      <c r="F38" s="4">
        <v>7573.4024578487297</v>
      </c>
      <c r="G38" s="3" t="s">
        <v>35</v>
      </c>
      <c r="H38" s="5">
        <v>18</v>
      </c>
      <c r="I38" s="5">
        <v>23</v>
      </c>
      <c r="J38" s="5">
        <v>28</v>
      </c>
      <c r="K38" s="5">
        <v>3</v>
      </c>
      <c r="L38" s="3" t="s">
        <v>27</v>
      </c>
      <c r="M38" s="4">
        <v>2.1079512671590801</v>
      </c>
      <c r="N38" s="3" t="s">
        <v>61</v>
      </c>
      <c r="O38" s="3" t="s">
        <v>50</v>
      </c>
      <c r="P38" s="5">
        <v>26</v>
      </c>
      <c r="Q38" s="5">
        <v>671</v>
      </c>
      <c r="R38" s="5">
        <v>19</v>
      </c>
      <c r="S38" s="4">
        <v>45.531364237162101</v>
      </c>
      <c r="T38" s="3" t="s">
        <v>46</v>
      </c>
      <c r="U38" s="6">
        <v>3.8055333792433498E-2</v>
      </c>
      <c r="V38" s="3" t="s">
        <v>40</v>
      </c>
      <c r="W38" s="3" t="s">
        <v>41</v>
      </c>
      <c r="X38" s="4">
        <v>403.80897424818102</v>
      </c>
    </row>
    <row r="39" spans="1:24" ht="15" customHeight="1">
      <c r="A39" s="7" t="s">
        <v>33</v>
      </c>
      <c r="B39" s="7" t="s">
        <v>91</v>
      </c>
      <c r="C39" s="8">
        <v>23.399844752614399</v>
      </c>
      <c r="D39" s="7">
        <v>5</v>
      </c>
      <c r="E39" s="9">
        <v>963</v>
      </c>
      <c r="F39" s="8">
        <v>2438.3399304700301</v>
      </c>
      <c r="G39" s="7" t="s">
        <v>35</v>
      </c>
      <c r="H39" s="9">
        <v>25</v>
      </c>
      <c r="I39" s="9">
        <v>8</v>
      </c>
      <c r="J39" s="9">
        <v>21</v>
      </c>
      <c r="K39" s="9">
        <v>9</v>
      </c>
      <c r="L39" s="7" t="s">
        <v>36</v>
      </c>
      <c r="M39" s="8">
        <v>1.53265527359043</v>
      </c>
      <c r="N39" s="7" t="s">
        <v>28</v>
      </c>
      <c r="O39" s="7" t="s">
        <v>45</v>
      </c>
      <c r="P39" s="9">
        <v>24</v>
      </c>
      <c r="Q39" s="9">
        <v>867</v>
      </c>
      <c r="R39" s="9">
        <v>15</v>
      </c>
      <c r="S39" s="8">
        <v>34.343277465075403</v>
      </c>
      <c r="T39" s="7" t="s">
        <v>30</v>
      </c>
      <c r="U39" s="10">
        <v>2.61028808484811E-2</v>
      </c>
      <c r="V39" s="7" t="s">
        <v>56</v>
      </c>
      <c r="W39" s="7" t="s">
        <v>48</v>
      </c>
      <c r="X39" s="8">
        <v>183.932968043594</v>
      </c>
    </row>
    <row r="40" spans="1:24" ht="15" customHeight="1">
      <c r="A40" s="3" t="s">
        <v>57</v>
      </c>
      <c r="B40" s="3" t="s">
        <v>92</v>
      </c>
      <c r="C40" s="4">
        <v>52.075930682707799</v>
      </c>
      <c r="D40" s="3">
        <v>75</v>
      </c>
      <c r="E40" s="5">
        <v>705</v>
      </c>
      <c r="F40" s="4">
        <v>9692.3180402184298</v>
      </c>
      <c r="G40" s="3" t="s">
        <v>26</v>
      </c>
      <c r="H40" s="5">
        <v>69</v>
      </c>
      <c r="I40" s="5">
        <v>1</v>
      </c>
      <c r="J40" s="5">
        <v>88</v>
      </c>
      <c r="K40" s="5">
        <v>5</v>
      </c>
      <c r="L40" s="3" t="s">
        <v>27</v>
      </c>
      <c r="M40" s="4">
        <v>9.2359314372492296</v>
      </c>
      <c r="N40" s="3" t="s">
        <v>44</v>
      </c>
      <c r="O40" s="3" t="s">
        <v>29</v>
      </c>
      <c r="P40" s="5">
        <v>10</v>
      </c>
      <c r="Q40" s="5">
        <v>841</v>
      </c>
      <c r="R40" s="5">
        <v>12</v>
      </c>
      <c r="S40" s="4">
        <v>5.9306936455283203</v>
      </c>
      <c r="T40" s="3" t="s">
        <v>30</v>
      </c>
      <c r="U40" s="6">
        <v>6.1332689916450698E-3</v>
      </c>
      <c r="V40" s="3" t="s">
        <v>40</v>
      </c>
      <c r="W40" s="3" t="s">
        <v>32</v>
      </c>
      <c r="X40" s="4">
        <v>339.67286994860598</v>
      </c>
    </row>
    <row r="41" spans="1:24" ht="15" customHeight="1">
      <c r="A41" s="7" t="s">
        <v>33</v>
      </c>
      <c r="B41" s="7" t="s">
        <v>93</v>
      </c>
      <c r="C41" s="8">
        <v>19.127477265823298</v>
      </c>
      <c r="D41" s="7">
        <v>26</v>
      </c>
      <c r="E41" s="9">
        <v>176</v>
      </c>
      <c r="F41" s="8">
        <v>1912.4656631007599</v>
      </c>
      <c r="G41" s="7" t="s">
        <v>35</v>
      </c>
      <c r="H41" s="9">
        <v>78</v>
      </c>
      <c r="I41" s="9">
        <v>29</v>
      </c>
      <c r="J41" s="9">
        <v>34</v>
      </c>
      <c r="K41" s="9">
        <v>3</v>
      </c>
      <c r="L41" s="7" t="s">
        <v>36</v>
      </c>
      <c r="M41" s="8">
        <v>5.5625037788303802</v>
      </c>
      <c r="N41" s="7" t="s">
        <v>61</v>
      </c>
      <c r="O41" s="7" t="s">
        <v>45</v>
      </c>
      <c r="P41" s="9">
        <v>30</v>
      </c>
      <c r="Q41" s="9">
        <v>791</v>
      </c>
      <c r="R41" s="9">
        <v>6</v>
      </c>
      <c r="S41" s="8">
        <v>9.0058074287816403</v>
      </c>
      <c r="T41" s="7" t="s">
        <v>46</v>
      </c>
      <c r="U41" s="10">
        <v>1.4519722039968199E-2</v>
      </c>
      <c r="V41" s="7" t="s">
        <v>40</v>
      </c>
      <c r="W41" s="7" t="s">
        <v>32</v>
      </c>
      <c r="X41" s="8">
        <v>653.67299455203295</v>
      </c>
    </row>
    <row r="42" spans="1:24" ht="15" customHeight="1">
      <c r="A42" s="3" t="s">
        <v>33</v>
      </c>
      <c r="B42" s="3" t="s">
        <v>94</v>
      </c>
      <c r="C42" s="4">
        <v>80.541424170940303</v>
      </c>
      <c r="D42" s="3">
        <v>97</v>
      </c>
      <c r="E42" s="5">
        <v>933</v>
      </c>
      <c r="F42" s="4">
        <v>5724.9593504562699</v>
      </c>
      <c r="G42" s="3" t="s">
        <v>35</v>
      </c>
      <c r="H42" s="5">
        <v>90</v>
      </c>
      <c r="I42" s="5">
        <v>20</v>
      </c>
      <c r="J42" s="5">
        <v>39</v>
      </c>
      <c r="K42" s="5">
        <v>8</v>
      </c>
      <c r="L42" s="3" t="s">
        <v>43</v>
      </c>
      <c r="M42" s="4">
        <v>7.2295951397364702</v>
      </c>
      <c r="N42" s="3" t="s">
        <v>39</v>
      </c>
      <c r="O42" s="3" t="s">
        <v>45</v>
      </c>
      <c r="P42" s="5">
        <v>18</v>
      </c>
      <c r="Q42" s="5">
        <v>793</v>
      </c>
      <c r="R42" s="5">
        <v>1</v>
      </c>
      <c r="S42" s="4">
        <v>88.179407104217503</v>
      </c>
      <c r="T42" s="3" t="s">
        <v>30</v>
      </c>
      <c r="U42" s="6">
        <v>4.2132694305865699E-2</v>
      </c>
      <c r="V42" s="3" t="s">
        <v>31</v>
      </c>
      <c r="W42" s="3" t="s">
        <v>48</v>
      </c>
      <c r="X42" s="4">
        <v>529.80872398069198</v>
      </c>
    </row>
    <row r="43" spans="1:24" ht="15" customHeight="1">
      <c r="A43" s="7" t="s">
        <v>33</v>
      </c>
      <c r="B43" s="7" t="s">
        <v>95</v>
      </c>
      <c r="C43" s="8">
        <v>99.113291615317195</v>
      </c>
      <c r="D43" s="7">
        <v>35</v>
      </c>
      <c r="E43" s="9">
        <v>556</v>
      </c>
      <c r="F43" s="8">
        <v>5521.2052590109697</v>
      </c>
      <c r="G43" s="7" t="s">
        <v>35</v>
      </c>
      <c r="H43" s="9">
        <v>64</v>
      </c>
      <c r="I43" s="9">
        <v>19</v>
      </c>
      <c r="J43" s="9">
        <v>38</v>
      </c>
      <c r="K43" s="9">
        <v>8</v>
      </c>
      <c r="L43" s="7" t="s">
        <v>27</v>
      </c>
      <c r="M43" s="8">
        <v>5.7732637437666501</v>
      </c>
      <c r="N43" s="7" t="s">
        <v>52</v>
      </c>
      <c r="O43" s="7" t="s">
        <v>62</v>
      </c>
      <c r="P43" s="9">
        <v>18</v>
      </c>
      <c r="Q43" s="9">
        <v>892</v>
      </c>
      <c r="R43" s="9">
        <v>7</v>
      </c>
      <c r="S43" s="8">
        <v>95.332064548772493</v>
      </c>
      <c r="T43" s="7" t="s">
        <v>46</v>
      </c>
      <c r="U43" s="10">
        <v>4.5302262398259598E-4</v>
      </c>
      <c r="V43" s="7" t="s">
        <v>56</v>
      </c>
      <c r="W43" s="7" t="s">
        <v>48</v>
      </c>
      <c r="X43" s="8">
        <v>275.52437113130998</v>
      </c>
    </row>
    <row r="44" spans="1:24" ht="15" customHeight="1">
      <c r="A44" s="3" t="s">
        <v>33</v>
      </c>
      <c r="B44" s="3" t="s">
        <v>96</v>
      </c>
      <c r="C44" s="4">
        <v>46.529167614516801</v>
      </c>
      <c r="D44" s="3">
        <v>98</v>
      </c>
      <c r="E44" s="5">
        <v>155</v>
      </c>
      <c r="F44" s="4">
        <v>1839.60942585676</v>
      </c>
      <c r="G44" s="3" t="s">
        <v>35</v>
      </c>
      <c r="H44" s="5">
        <v>22</v>
      </c>
      <c r="I44" s="5">
        <v>27</v>
      </c>
      <c r="J44" s="5">
        <v>57</v>
      </c>
      <c r="K44" s="5">
        <v>4</v>
      </c>
      <c r="L44" s="3" t="s">
        <v>43</v>
      </c>
      <c r="M44" s="4">
        <v>7.5262483268515101</v>
      </c>
      <c r="N44" s="3" t="s">
        <v>44</v>
      </c>
      <c r="O44" s="3" t="s">
        <v>53</v>
      </c>
      <c r="P44" s="5">
        <v>26</v>
      </c>
      <c r="Q44" s="5">
        <v>179</v>
      </c>
      <c r="R44" s="5">
        <v>7</v>
      </c>
      <c r="S44" s="4">
        <v>96.422820639571896</v>
      </c>
      <c r="T44" s="3" t="s">
        <v>46</v>
      </c>
      <c r="U44" s="6">
        <v>4.9392552886209501E-2</v>
      </c>
      <c r="V44" s="3" t="s">
        <v>31</v>
      </c>
      <c r="W44" s="3" t="s">
        <v>48</v>
      </c>
      <c r="X44" s="4">
        <v>635.65712050199204</v>
      </c>
    </row>
    <row r="45" spans="1:24" ht="15" customHeight="1">
      <c r="A45" s="7" t="s">
        <v>24</v>
      </c>
      <c r="B45" s="7" t="s">
        <v>97</v>
      </c>
      <c r="C45" s="8">
        <v>11.7432717763092</v>
      </c>
      <c r="D45" s="7">
        <v>6</v>
      </c>
      <c r="E45" s="9">
        <v>598</v>
      </c>
      <c r="F45" s="8">
        <v>5737.4255991190203</v>
      </c>
      <c r="G45" s="7" t="s">
        <v>38</v>
      </c>
      <c r="H45" s="9">
        <v>36</v>
      </c>
      <c r="I45" s="9">
        <v>29</v>
      </c>
      <c r="J45" s="9">
        <v>85</v>
      </c>
      <c r="K45" s="9">
        <v>9</v>
      </c>
      <c r="L45" s="7" t="s">
        <v>27</v>
      </c>
      <c r="M45" s="8">
        <v>3.6940212683884499</v>
      </c>
      <c r="N45" s="7" t="s">
        <v>44</v>
      </c>
      <c r="O45" s="7" t="s">
        <v>29</v>
      </c>
      <c r="P45" s="9">
        <v>1</v>
      </c>
      <c r="Q45" s="9">
        <v>206</v>
      </c>
      <c r="R45" s="9">
        <v>23</v>
      </c>
      <c r="S45" s="8">
        <v>26.2773659573324</v>
      </c>
      <c r="T45" s="7" t="s">
        <v>30</v>
      </c>
      <c r="U45" s="10">
        <v>3.7230476798509799E-3</v>
      </c>
      <c r="V45" s="7" t="s">
        <v>40</v>
      </c>
      <c r="W45" s="7" t="s">
        <v>48</v>
      </c>
      <c r="X45" s="8">
        <v>716.04411975934102</v>
      </c>
    </row>
    <row r="46" spans="1:24" ht="15" customHeight="1">
      <c r="A46" s="3" t="s">
        <v>57</v>
      </c>
      <c r="B46" s="3" t="s">
        <v>98</v>
      </c>
      <c r="C46" s="4">
        <v>51.355790913110397</v>
      </c>
      <c r="D46" s="3">
        <v>34</v>
      </c>
      <c r="E46" s="5">
        <v>919</v>
      </c>
      <c r="F46" s="4">
        <v>7152.28604943552</v>
      </c>
      <c r="G46" s="3" t="s">
        <v>35</v>
      </c>
      <c r="H46" s="5">
        <v>13</v>
      </c>
      <c r="I46" s="5">
        <v>19</v>
      </c>
      <c r="J46" s="5">
        <v>72</v>
      </c>
      <c r="K46" s="5">
        <v>6</v>
      </c>
      <c r="L46" s="3" t="s">
        <v>43</v>
      </c>
      <c r="M46" s="4">
        <v>7.5774496573766896</v>
      </c>
      <c r="N46" s="3" t="s">
        <v>61</v>
      </c>
      <c r="O46" s="3" t="s">
        <v>50</v>
      </c>
      <c r="P46" s="5">
        <v>7</v>
      </c>
      <c r="Q46" s="5">
        <v>834</v>
      </c>
      <c r="R46" s="5">
        <v>18</v>
      </c>
      <c r="S46" s="4">
        <v>22.554106620887701</v>
      </c>
      <c r="T46" s="3" t="s">
        <v>46</v>
      </c>
      <c r="U46" s="6">
        <v>2.9626263204548801E-2</v>
      </c>
      <c r="V46" s="3" t="s">
        <v>47</v>
      </c>
      <c r="W46" s="3" t="s">
        <v>48</v>
      </c>
      <c r="X46" s="4">
        <v>610.45326961922797</v>
      </c>
    </row>
    <row r="47" spans="1:24" ht="15" customHeight="1">
      <c r="A47" s="7" t="s">
        <v>24</v>
      </c>
      <c r="B47" s="7" t="s">
        <v>99</v>
      </c>
      <c r="C47" s="8">
        <v>33.784138033065503</v>
      </c>
      <c r="D47" s="7">
        <v>1</v>
      </c>
      <c r="E47" s="9">
        <v>24</v>
      </c>
      <c r="F47" s="8">
        <v>5267.9568075105199</v>
      </c>
      <c r="G47" s="7" t="s">
        <v>55</v>
      </c>
      <c r="H47" s="9">
        <v>93</v>
      </c>
      <c r="I47" s="9">
        <v>7</v>
      </c>
      <c r="J47" s="9">
        <v>52</v>
      </c>
      <c r="K47" s="9">
        <v>6</v>
      </c>
      <c r="L47" s="7" t="s">
        <v>27</v>
      </c>
      <c r="M47" s="8">
        <v>5.2151550087119096</v>
      </c>
      <c r="N47" s="7" t="s">
        <v>61</v>
      </c>
      <c r="O47" s="7" t="s">
        <v>62</v>
      </c>
      <c r="P47" s="9">
        <v>25</v>
      </c>
      <c r="Q47" s="9">
        <v>794</v>
      </c>
      <c r="R47" s="9">
        <v>25</v>
      </c>
      <c r="S47" s="8">
        <v>66.312544439991697</v>
      </c>
      <c r="T47" s="7" t="s">
        <v>64</v>
      </c>
      <c r="U47" s="10">
        <v>3.21960461208411E-2</v>
      </c>
      <c r="V47" s="7" t="s">
        <v>47</v>
      </c>
      <c r="W47" s="7" t="s">
        <v>48</v>
      </c>
      <c r="X47" s="8">
        <v>495.30569702847401</v>
      </c>
    </row>
    <row r="48" spans="1:24" ht="15" customHeight="1">
      <c r="A48" s="3" t="s">
        <v>24</v>
      </c>
      <c r="B48" s="3" t="s">
        <v>100</v>
      </c>
      <c r="C48" s="4">
        <v>27.082207199888899</v>
      </c>
      <c r="D48" s="3">
        <v>75</v>
      </c>
      <c r="E48" s="5">
        <v>859</v>
      </c>
      <c r="F48" s="4">
        <v>2556.7673606336002</v>
      </c>
      <c r="G48" s="3" t="s">
        <v>26</v>
      </c>
      <c r="H48" s="5">
        <v>92</v>
      </c>
      <c r="I48" s="5">
        <v>29</v>
      </c>
      <c r="J48" s="5">
        <v>6</v>
      </c>
      <c r="K48" s="5">
        <v>8</v>
      </c>
      <c r="L48" s="3" t="s">
        <v>27</v>
      </c>
      <c r="M48" s="4">
        <v>4.0709558370840799</v>
      </c>
      <c r="N48" s="3" t="s">
        <v>28</v>
      </c>
      <c r="O48" s="3" t="s">
        <v>62</v>
      </c>
      <c r="P48" s="5">
        <v>18</v>
      </c>
      <c r="Q48" s="5">
        <v>870</v>
      </c>
      <c r="R48" s="5">
        <v>23</v>
      </c>
      <c r="S48" s="4">
        <v>77.322353211051606</v>
      </c>
      <c r="T48" s="3" t="s">
        <v>30</v>
      </c>
      <c r="U48" s="6">
        <v>3.6486105925362E-2</v>
      </c>
      <c r="V48" s="3" t="s">
        <v>31</v>
      </c>
      <c r="W48" s="3" t="s">
        <v>32</v>
      </c>
      <c r="X48" s="4">
        <v>380.43593711196399</v>
      </c>
    </row>
    <row r="49" spans="1:24" ht="15" customHeight="1">
      <c r="A49" s="7" t="s">
        <v>33</v>
      </c>
      <c r="B49" s="7" t="s">
        <v>101</v>
      </c>
      <c r="C49" s="8">
        <v>95.712135880936103</v>
      </c>
      <c r="D49" s="7">
        <v>93</v>
      </c>
      <c r="E49" s="9">
        <v>910</v>
      </c>
      <c r="F49" s="8">
        <v>7089.4742499341901</v>
      </c>
      <c r="G49" s="7" t="s">
        <v>55</v>
      </c>
      <c r="H49" s="9">
        <v>4</v>
      </c>
      <c r="I49" s="9">
        <v>15</v>
      </c>
      <c r="J49" s="9">
        <v>51</v>
      </c>
      <c r="K49" s="9">
        <v>9</v>
      </c>
      <c r="L49" s="7" t="s">
        <v>27</v>
      </c>
      <c r="M49" s="8">
        <v>8.9787507559499709</v>
      </c>
      <c r="N49" s="7" t="s">
        <v>39</v>
      </c>
      <c r="O49" s="7" t="s">
        <v>45</v>
      </c>
      <c r="P49" s="9">
        <v>10</v>
      </c>
      <c r="Q49" s="9">
        <v>964</v>
      </c>
      <c r="R49" s="9">
        <v>20</v>
      </c>
      <c r="S49" s="8">
        <v>19.7129929112937</v>
      </c>
      <c r="T49" s="7" t="s">
        <v>30</v>
      </c>
      <c r="U49" s="10">
        <v>3.8057358671321402E-3</v>
      </c>
      <c r="V49" s="7" t="s">
        <v>47</v>
      </c>
      <c r="W49" s="7" t="s">
        <v>48</v>
      </c>
      <c r="X49" s="8">
        <v>581.60235505058699</v>
      </c>
    </row>
    <row r="50" spans="1:24" ht="15" customHeight="1">
      <c r="A50" s="3" t="s">
        <v>24</v>
      </c>
      <c r="B50" s="3" t="s">
        <v>102</v>
      </c>
      <c r="C50" s="4">
        <v>76.035544426891704</v>
      </c>
      <c r="D50" s="3">
        <v>28</v>
      </c>
      <c r="E50" s="5">
        <v>29</v>
      </c>
      <c r="F50" s="4">
        <v>7397.0710045871801</v>
      </c>
      <c r="G50" s="3" t="s">
        <v>26</v>
      </c>
      <c r="H50" s="5">
        <v>30</v>
      </c>
      <c r="I50" s="5">
        <v>16</v>
      </c>
      <c r="J50" s="5">
        <v>9</v>
      </c>
      <c r="K50" s="5">
        <v>3</v>
      </c>
      <c r="L50" s="3" t="s">
        <v>43</v>
      </c>
      <c r="M50" s="4">
        <v>7.0958331565551402</v>
      </c>
      <c r="N50" s="3" t="s">
        <v>61</v>
      </c>
      <c r="O50" s="3" t="s">
        <v>29</v>
      </c>
      <c r="P50" s="5">
        <v>9</v>
      </c>
      <c r="Q50" s="5">
        <v>109</v>
      </c>
      <c r="R50" s="5">
        <v>18</v>
      </c>
      <c r="S50" s="4">
        <v>23.126363582464801</v>
      </c>
      <c r="T50" s="3" t="s">
        <v>46</v>
      </c>
      <c r="U50" s="6">
        <v>1.6981125407143999E-2</v>
      </c>
      <c r="V50" s="3" t="s">
        <v>47</v>
      </c>
      <c r="W50" s="3" t="s">
        <v>32</v>
      </c>
      <c r="X50" s="4">
        <v>768.65191395437</v>
      </c>
    </row>
    <row r="51" spans="1:24" ht="15" customHeight="1">
      <c r="A51" s="7" t="s">
        <v>57</v>
      </c>
      <c r="B51" s="7" t="s">
        <v>103</v>
      </c>
      <c r="C51" s="8">
        <v>78.897913205639995</v>
      </c>
      <c r="D51" s="7">
        <v>19</v>
      </c>
      <c r="E51" s="9">
        <v>99</v>
      </c>
      <c r="F51" s="8">
        <v>8001.6132065190004</v>
      </c>
      <c r="G51" s="7" t="s">
        <v>38</v>
      </c>
      <c r="H51" s="9">
        <v>97</v>
      </c>
      <c r="I51" s="9">
        <v>24</v>
      </c>
      <c r="J51" s="9">
        <v>9</v>
      </c>
      <c r="K51" s="9">
        <v>6</v>
      </c>
      <c r="L51" s="7" t="s">
        <v>43</v>
      </c>
      <c r="M51" s="8">
        <v>2.5056210329009199</v>
      </c>
      <c r="N51" s="7" t="s">
        <v>44</v>
      </c>
      <c r="O51" s="7" t="s">
        <v>50</v>
      </c>
      <c r="P51" s="9">
        <v>28</v>
      </c>
      <c r="Q51" s="9">
        <v>177</v>
      </c>
      <c r="R51" s="9">
        <v>28</v>
      </c>
      <c r="S51" s="8">
        <v>14.1478154439792</v>
      </c>
      <c r="T51" s="7" t="s">
        <v>64</v>
      </c>
      <c r="U51" s="10">
        <v>2.8258139854001298E-2</v>
      </c>
      <c r="V51" s="7" t="s">
        <v>47</v>
      </c>
      <c r="W51" s="7" t="s">
        <v>48</v>
      </c>
      <c r="X51" s="8">
        <v>336.89016851997798</v>
      </c>
    </row>
    <row r="52" spans="1:24" ht="15" customHeight="1">
      <c r="A52" s="3" t="s">
        <v>57</v>
      </c>
      <c r="B52" s="3" t="s">
        <v>104</v>
      </c>
      <c r="C52" s="4">
        <v>14.203484264803</v>
      </c>
      <c r="D52" s="3">
        <v>91</v>
      </c>
      <c r="E52" s="5">
        <v>633</v>
      </c>
      <c r="F52" s="4">
        <v>5910.8853896688997</v>
      </c>
      <c r="G52" s="3" t="s">
        <v>35</v>
      </c>
      <c r="H52" s="5">
        <v>31</v>
      </c>
      <c r="I52" s="5">
        <v>23</v>
      </c>
      <c r="J52" s="5">
        <v>82</v>
      </c>
      <c r="K52" s="5">
        <v>10</v>
      </c>
      <c r="L52" s="3" t="s">
        <v>36</v>
      </c>
      <c r="M52" s="4">
        <v>6.2478609149759903</v>
      </c>
      <c r="N52" s="3" t="s">
        <v>61</v>
      </c>
      <c r="O52" s="3" t="s">
        <v>50</v>
      </c>
      <c r="P52" s="5">
        <v>20</v>
      </c>
      <c r="Q52" s="5">
        <v>306</v>
      </c>
      <c r="R52" s="5">
        <v>21</v>
      </c>
      <c r="S52" s="4">
        <v>45.178757924634503</v>
      </c>
      <c r="T52" s="3" t="s">
        <v>46</v>
      </c>
      <c r="U52" s="6">
        <v>4.7548008046711901E-2</v>
      </c>
      <c r="V52" s="3" t="s">
        <v>47</v>
      </c>
      <c r="W52" s="3" t="s">
        <v>32</v>
      </c>
      <c r="X52" s="4">
        <v>496.24865029194098</v>
      </c>
    </row>
    <row r="53" spans="1:24" ht="15" customHeight="1">
      <c r="A53" s="7" t="s">
        <v>24</v>
      </c>
      <c r="B53" s="7" t="s">
        <v>105</v>
      </c>
      <c r="C53" s="8">
        <v>26.700760972461701</v>
      </c>
      <c r="D53" s="7">
        <v>61</v>
      </c>
      <c r="E53" s="9">
        <v>154</v>
      </c>
      <c r="F53" s="8">
        <v>9866.4654579797007</v>
      </c>
      <c r="G53" s="7" t="s">
        <v>55</v>
      </c>
      <c r="H53" s="9">
        <v>100</v>
      </c>
      <c r="I53" s="9">
        <v>4</v>
      </c>
      <c r="J53" s="9">
        <v>52</v>
      </c>
      <c r="K53" s="9">
        <v>1</v>
      </c>
      <c r="L53" s="7" t="s">
        <v>36</v>
      </c>
      <c r="M53" s="8">
        <v>4.7830005579476698</v>
      </c>
      <c r="N53" s="7" t="s">
        <v>44</v>
      </c>
      <c r="O53" s="7" t="s">
        <v>53</v>
      </c>
      <c r="P53" s="9">
        <v>18</v>
      </c>
      <c r="Q53" s="9">
        <v>673</v>
      </c>
      <c r="R53" s="9">
        <v>28</v>
      </c>
      <c r="S53" s="8">
        <v>14.19032834457</v>
      </c>
      <c r="T53" s="7" t="s">
        <v>30</v>
      </c>
      <c r="U53" s="10">
        <v>1.7729511720835599E-2</v>
      </c>
      <c r="V53" s="7" t="s">
        <v>31</v>
      </c>
      <c r="W53" s="7" t="s">
        <v>48</v>
      </c>
      <c r="X53" s="8">
        <v>694.98231757944598</v>
      </c>
    </row>
    <row r="54" spans="1:24" ht="15" customHeight="1">
      <c r="A54" s="3" t="s">
        <v>33</v>
      </c>
      <c r="B54" s="3" t="s">
        <v>106</v>
      </c>
      <c r="C54" s="4">
        <v>98.031829656465106</v>
      </c>
      <c r="D54" s="3">
        <v>1</v>
      </c>
      <c r="E54" s="5">
        <v>820</v>
      </c>
      <c r="F54" s="4">
        <v>9435.7626089121295</v>
      </c>
      <c r="G54" s="3" t="s">
        <v>55</v>
      </c>
      <c r="H54" s="5">
        <v>64</v>
      </c>
      <c r="I54" s="5">
        <v>11</v>
      </c>
      <c r="J54" s="5">
        <v>11</v>
      </c>
      <c r="K54" s="5">
        <v>1</v>
      </c>
      <c r="L54" s="3" t="s">
        <v>27</v>
      </c>
      <c r="M54" s="4">
        <v>8.6310521797689503</v>
      </c>
      <c r="N54" s="3" t="s">
        <v>39</v>
      </c>
      <c r="O54" s="3" t="s">
        <v>29</v>
      </c>
      <c r="P54" s="5">
        <v>10</v>
      </c>
      <c r="Q54" s="5">
        <v>727</v>
      </c>
      <c r="R54" s="5">
        <v>27</v>
      </c>
      <c r="S54" s="4">
        <v>9.1668491485971497</v>
      </c>
      <c r="T54" s="3" t="s">
        <v>30</v>
      </c>
      <c r="U54" s="6">
        <v>2.12247161914382E-2</v>
      </c>
      <c r="V54" s="3" t="s">
        <v>40</v>
      </c>
      <c r="W54" s="3" t="s">
        <v>41</v>
      </c>
      <c r="X54" s="4">
        <v>602.89849883838303</v>
      </c>
    </row>
    <row r="55" spans="1:24" ht="15" customHeight="1">
      <c r="A55" s="7" t="s">
        <v>33</v>
      </c>
      <c r="B55" s="7" t="s">
        <v>107</v>
      </c>
      <c r="C55" s="8">
        <v>30.3414707112142</v>
      </c>
      <c r="D55" s="7">
        <v>93</v>
      </c>
      <c r="E55" s="9">
        <v>242</v>
      </c>
      <c r="F55" s="8">
        <v>8232.3348294258194</v>
      </c>
      <c r="G55" s="7" t="s">
        <v>55</v>
      </c>
      <c r="H55" s="9">
        <v>96</v>
      </c>
      <c r="I55" s="9">
        <v>25</v>
      </c>
      <c r="J55" s="9">
        <v>54</v>
      </c>
      <c r="K55" s="9">
        <v>3</v>
      </c>
      <c r="L55" s="7" t="s">
        <v>27</v>
      </c>
      <c r="M55" s="8">
        <v>1.0134865660959</v>
      </c>
      <c r="N55" s="7" t="s">
        <v>39</v>
      </c>
      <c r="O55" s="7" t="s">
        <v>50</v>
      </c>
      <c r="P55" s="9">
        <v>1</v>
      </c>
      <c r="Q55" s="9">
        <v>631</v>
      </c>
      <c r="R55" s="9">
        <v>17</v>
      </c>
      <c r="S55" s="8">
        <v>83.344058991677997</v>
      </c>
      <c r="T55" s="7" t="s">
        <v>30</v>
      </c>
      <c r="U55" s="10">
        <v>1.4103475760760299E-2</v>
      </c>
      <c r="V55" s="7" t="s">
        <v>40</v>
      </c>
      <c r="W55" s="7" t="s">
        <v>32</v>
      </c>
      <c r="X55" s="8">
        <v>750.73784066827102</v>
      </c>
    </row>
    <row r="56" spans="1:24" ht="15" customHeight="1">
      <c r="A56" s="3" t="s">
        <v>24</v>
      </c>
      <c r="B56" s="3" t="s">
        <v>108</v>
      </c>
      <c r="C56" s="4">
        <v>31.1462431602409</v>
      </c>
      <c r="D56" s="3">
        <v>11</v>
      </c>
      <c r="E56" s="5">
        <v>622</v>
      </c>
      <c r="F56" s="4">
        <v>6088.0214799408604</v>
      </c>
      <c r="G56" s="3" t="s">
        <v>26</v>
      </c>
      <c r="H56" s="5">
        <v>33</v>
      </c>
      <c r="I56" s="5">
        <v>22</v>
      </c>
      <c r="J56" s="5">
        <v>61</v>
      </c>
      <c r="K56" s="5">
        <v>3</v>
      </c>
      <c r="L56" s="3" t="s">
        <v>27</v>
      </c>
      <c r="M56" s="4">
        <v>4.3051034712876399</v>
      </c>
      <c r="N56" s="3" t="s">
        <v>39</v>
      </c>
      <c r="O56" s="3" t="s">
        <v>45</v>
      </c>
      <c r="P56" s="5">
        <v>26</v>
      </c>
      <c r="Q56" s="5">
        <v>497</v>
      </c>
      <c r="R56" s="5">
        <v>29</v>
      </c>
      <c r="S56" s="4">
        <v>30.186023375822501</v>
      </c>
      <c r="T56" s="3" t="s">
        <v>64</v>
      </c>
      <c r="U56" s="6">
        <v>2.4787719755397501E-2</v>
      </c>
      <c r="V56" s="3" t="s">
        <v>31</v>
      </c>
      <c r="W56" s="3" t="s">
        <v>32</v>
      </c>
      <c r="X56" s="4">
        <v>814.06999658218797</v>
      </c>
    </row>
    <row r="57" spans="1:24" ht="15" customHeight="1">
      <c r="A57" s="7" t="s">
        <v>24</v>
      </c>
      <c r="B57" s="7" t="s">
        <v>109</v>
      </c>
      <c r="C57" s="8">
        <v>79.855058340789398</v>
      </c>
      <c r="D57" s="7">
        <v>16</v>
      </c>
      <c r="E57" s="9">
        <v>701</v>
      </c>
      <c r="F57" s="8">
        <v>2925.6751703038099</v>
      </c>
      <c r="G57" s="7" t="s">
        <v>55</v>
      </c>
      <c r="H57" s="9">
        <v>97</v>
      </c>
      <c r="I57" s="9">
        <v>11</v>
      </c>
      <c r="J57" s="9">
        <v>11</v>
      </c>
      <c r="K57" s="9">
        <v>5</v>
      </c>
      <c r="L57" s="7" t="s">
        <v>36</v>
      </c>
      <c r="M57" s="8">
        <v>5.01436495503091</v>
      </c>
      <c r="N57" s="7" t="s">
        <v>61</v>
      </c>
      <c r="O57" s="7" t="s">
        <v>50</v>
      </c>
      <c r="P57" s="9">
        <v>27</v>
      </c>
      <c r="Q57" s="9">
        <v>918</v>
      </c>
      <c r="R57" s="9">
        <v>5</v>
      </c>
      <c r="S57" s="8">
        <v>30.323545256616502</v>
      </c>
      <c r="T57" s="7" t="s">
        <v>46</v>
      </c>
      <c r="U57" s="10">
        <v>4.5489196593963901E-2</v>
      </c>
      <c r="V57" s="7" t="s">
        <v>56</v>
      </c>
      <c r="W57" s="7" t="s">
        <v>32</v>
      </c>
      <c r="X57" s="8">
        <v>323.012927952479</v>
      </c>
    </row>
    <row r="58" spans="1:24" ht="15" customHeight="1">
      <c r="A58" s="3" t="s">
        <v>33</v>
      </c>
      <c r="B58" s="3" t="s">
        <v>110</v>
      </c>
      <c r="C58" s="4">
        <v>20.986386037043399</v>
      </c>
      <c r="D58" s="3">
        <v>90</v>
      </c>
      <c r="E58" s="5">
        <v>93</v>
      </c>
      <c r="F58" s="4">
        <v>4767.0204843441397</v>
      </c>
      <c r="G58" s="3" t="s">
        <v>26</v>
      </c>
      <c r="H58" s="5">
        <v>25</v>
      </c>
      <c r="I58" s="5">
        <v>23</v>
      </c>
      <c r="J58" s="5">
        <v>83</v>
      </c>
      <c r="K58" s="5">
        <v>5</v>
      </c>
      <c r="L58" s="3" t="s">
        <v>43</v>
      </c>
      <c r="M58" s="4">
        <v>1.77442971407174</v>
      </c>
      <c r="N58" s="3" t="s">
        <v>39</v>
      </c>
      <c r="O58" s="3" t="s">
        <v>29</v>
      </c>
      <c r="P58" s="5">
        <v>24</v>
      </c>
      <c r="Q58" s="5">
        <v>826</v>
      </c>
      <c r="R58" s="5">
        <v>28</v>
      </c>
      <c r="S58" s="4">
        <v>12.836284572832801</v>
      </c>
      <c r="T58" s="3" t="s">
        <v>64</v>
      </c>
      <c r="U58" s="6">
        <v>1.1737554953874499E-2</v>
      </c>
      <c r="V58" s="3" t="s">
        <v>40</v>
      </c>
      <c r="W58" s="3" t="s">
        <v>32</v>
      </c>
      <c r="X58" s="4">
        <v>832.21080870602202</v>
      </c>
    </row>
    <row r="59" spans="1:24" ht="15" customHeight="1">
      <c r="A59" s="7" t="s">
        <v>24</v>
      </c>
      <c r="B59" s="7" t="s">
        <v>111</v>
      </c>
      <c r="C59" s="8">
        <v>49.263205350734196</v>
      </c>
      <c r="D59" s="7">
        <v>65</v>
      </c>
      <c r="E59" s="9">
        <v>227</v>
      </c>
      <c r="F59" s="8">
        <v>1605.8669003924099</v>
      </c>
      <c r="G59" s="7" t="s">
        <v>38</v>
      </c>
      <c r="H59" s="9">
        <v>5</v>
      </c>
      <c r="I59" s="9">
        <v>18</v>
      </c>
      <c r="J59" s="9">
        <v>51</v>
      </c>
      <c r="K59" s="9">
        <v>1</v>
      </c>
      <c r="L59" s="7" t="s">
        <v>27</v>
      </c>
      <c r="M59" s="8">
        <v>9.1605585353818704</v>
      </c>
      <c r="N59" s="7" t="s">
        <v>61</v>
      </c>
      <c r="O59" s="7" t="s">
        <v>50</v>
      </c>
      <c r="P59" s="9">
        <v>21</v>
      </c>
      <c r="Q59" s="9">
        <v>588</v>
      </c>
      <c r="R59" s="9">
        <v>25</v>
      </c>
      <c r="S59" s="8">
        <v>67.779622987078099</v>
      </c>
      <c r="T59" s="7" t="s">
        <v>30</v>
      </c>
      <c r="U59" s="10">
        <v>2.5111748302127101E-2</v>
      </c>
      <c r="V59" s="7" t="s">
        <v>47</v>
      </c>
      <c r="W59" s="7" t="s">
        <v>48</v>
      </c>
      <c r="X59" s="8">
        <v>482.19123860252802</v>
      </c>
    </row>
    <row r="60" spans="1:24" ht="15" customHeight="1">
      <c r="A60" s="3" t="s">
        <v>33</v>
      </c>
      <c r="B60" s="3" t="s">
        <v>112</v>
      </c>
      <c r="C60" s="4">
        <v>59.841561377289302</v>
      </c>
      <c r="D60" s="3">
        <v>81</v>
      </c>
      <c r="E60" s="5">
        <v>896</v>
      </c>
      <c r="F60" s="4">
        <v>2021.14981033711</v>
      </c>
      <c r="G60" s="3" t="s">
        <v>26</v>
      </c>
      <c r="H60" s="5">
        <v>10</v>
      </c>
      <c r="I60" s="5">
        <v>5</v>
      </c>
      <c r="J60" s="5">
        <v>44</v>
      </c>
      <c r="K60" s="5">
        <v>7</v>
      </c>
      <c r="L60" s="3" t="s">
        <v>36</v>
      </c>
      <c r="M60" s="4">
        <v>4.9384385647120901</v>
      </c>
      <c r="N60" s="3" t="s">
        <v>28</v>
      </c>
      <c r="O60" s="3" t="s">
        <v>50</v>
      </c>
      <c r="P60" s="5">
        <v>18</v>
      </c>
      <c r="Q60" s="5">
        <v>396</v>
      </c>
      <c r="R60" s="5">
        <v>7</v>
      </c>
      <c r="S60" s="4">
        <v>65.047415094691502</v>
      </c>
      <c r="T60" s="3" t="s">
        <v>46</v>
      </c>
      <c r="U60" s="6">
        <v>1.7303747198591998E-2</v>
      </c>
      <c r="V60" s="3" t="s">
        <v>31</v>
      </c>
      <c r="W60" s="3" t="s">
        <v>32</v>
      </c>
      <c r="X60" s="4">
        <v>110.364335231365</v>
      </c>
    </row>
    <row r="61" spans="1:24" ht="15" customHeight="1">
      <c r="A61" s="7" t="s">
        <v>57</v>
      </c>
      <c r="B61" s="7" t="s">
        <v>113</v>
      </c>
      <c r="C61" s="8">
        <v>63.828398347711001</v>
      </c>
      <c r="D61" s="7">
        <v>30</v>
      </c>
      <c r="E61" s="9">
        <v>484</v>
      </c>
      <c r="F61" s="8">
        <v>1061.6185230132901</v>
      </c>
      <c r="G61" s="7" t="s">
        <v>26</v>
      </c>
      <c r="H61" s="9">
        <v>100</v>
      </c>
      <c r="I61" s="9">
        <v>16</v>
      </c>
      <c r="J61" s="9">
        <v>26</v>
      </c>
      <c r="K61" s="9">
        <v>7</v>
      </c>
      <c r="L61" s="7" t="s">
        <v>27</v>
      </c>
      <c r="M61" s="8">
        <v>7.2937225968677302</v>
      </c>
      <c r="N61" s="7" t="s">
        <v>39</v>
      </c>
      <c r="O61" s="7" t="s">
        <v>45</v>
      </c>
      <c r="P61" s="9">
        <v>11</v>
      </c>
      <c r="Q61" s="9">
        <v>176</v>
      </c>
      <c r="R61" s="9">
        <v>4</v>
      </c>
      <c r="S61" s="8">
        <v>1.90076224351946</v>
      </c>
      <c r="T61" s="7" t="s">
        <v>46</v>
      </c>
      <c r="U61" s="10">
        <v>4.4719401546382299E-3</v>
      </c>
      <c r="V61" s="7" t="s">
        <v>40</v>
      </c>
      <c r="W61" s="7" t="s">
        <v>48</v>
      </c>
      <c r="X61" s="8">
        <v>312.57427361009297</v>
      </c>
    </row>
    <row r="62" spans="1:24" ht="15" customHeight="1">
      <c r="A62" s="3" t="s">
        <v>33</v>
      </c>
      <c r="B62" s="3" t="s">
        <v>114</v>
      </c>
      <c r="C62" s="4">
        <v>17.028027920188698</v>
      </c>
      <c r="D62" s="3">
        <v>16</v>
      </c>
      <c r="E62" s="5">
        <v>380</v>
      </c>
      <c r="F62" s="4">
        <v>8864.0843495864392</v>
      </c>
      <c r="G62" s="3" t="s">
        <v>35</v>
      </c>
      <c r="H62" s="5">
        <v>41</v>
      </c>
      <c r="I62" s="5">
        <v>27</v>
      </c>
      <c r="J62" s="5">
        <v>72</v>
      </c>
      <c r="K62" s="5">
        <v>8</v>
      </c>
      <c r="L62" s="3" t="s">
        <v>43</v>
      </c>
      <c r="M62" s="4">
        <v>4.3813681581023198</v>
      </c>
      <c r="N62" s="3" t="s">
        <v>52</v>
      </c>
      <c r="O62" s="3" t="s">
        <v>29</v>
      </c>
      <c r="P62" s="5">
        <v>29</v>
      </c>
      <c r="Q62" s="5">
        <v>929</v>
      </c>
      <c r="R62" s="5">
        <v>24</v>
      </c>
      <c r="S62" s="4">
        <v>87.213057815135699</v>
      </c>
      <c r="T62" s="3" t="s">
        <v>46</v>
      </c>
      <c r="U62" s="6">
        <v>2.85309061664905E-2</v>
      </c>
      <c r="V62" s="3" t="s">
        <v>47</v>
      </c>
      <c r="W62" s="3" t="s">
        <v>48</v>
      </c>
      <c r="X62" s="4">
        <v>430.16909697513699</v>
      </c>
    </row>
    <row r="63" spans="1:24" ht="15" customHeight="1">
      <c r="A63" s="7" t="s">
        <v>24</v>
      </c>
      <c r="B63" s="7" t="s">
        <v>115</v>
      </c>
      <c r="C63" s="8">
        <v>52.028749903294901</v>
      </c>
      <c r="D63" s="7">
        <v>23</v>
      </c>
      <c r="E63" s="9">
        <v>117</v>
      </c>
      <c r="F63" s="8">
        <v>6885.5893508962499</v>
      </c>
      <c r="G63" s="7" t="s">
        <v>38</v>
      </c>
      <c r="H63" s="9">
        <v>32</v>
      </c>
      <c r="I63" s="9">
        <v>23</v>
      </c>
      <c r="J63" s="9">
        <v>36</v>
      </c>
      <c r="K63" s="9">
        <v>7</v>
      </c>
      <c r="L63" s="7" t="s">
        <v>43</v>
      </c>
      <c r="M63" s="8">
        <v>9.0303404225219506</v>
      </c>
      <c r="N63" s="7" t="s">
        <v>52</v>
      </c>
      <c r="O63" s="7" t="s">
        <v>45</v>
      </c>
      <c r="P63" s="9">
        <v>14</v>
      </c>
      <c r="Q63" s="9">
        <v>480</v>
      </c>
      <c r="R63" s="9">
        <v>12</v>
      </c>
      <c r="S63" s="8">
        <v>78.702393968878894</v>
      </c>
      <c r="T63" s="7" t="s">
        <v>46</v>
      </c>
      <c r="U63" s="10">
        <v>4.3674705382050497E-2</v>
      </c>
      <c r="V63" s="7" t="s">
        <v>40</v>
      </c>
      <c r="W63" s="7" t="s">
        <v>48</v>
      </c>
      <c r="X63" s="8">
        <v>164.366528243419</v>
      </c>
    </row>
    <row r="64" spans="1:24" ht="15" customHeight="1">
      <c r="A64" s="3" t="s">
        <v>57</v>
      </c>
      <c r="B64" s="3" t="s">
        <v>116</v>
      </c>
      <c r="C64" s="4">
        <v>72.796353955587406</v>
      </c>
      <c r="D64" s="3">
        <v>89</v>
      </c>
      <c r="E64" s="5">
        <v>270</v>
      </c>
      <c r="F64" s="4">
        <v>3899.7468337292198</v>
      </c>
      <c r="G64" s="3" t="s">
        <v>38</v>
      </c>
      <c r="H64" s="5">
        <v>86</v>
      </c>
      <c r="I64" s="5">
        <v>2</v>
      </c>
      <c r="J64" s="5">
        <v>40</v>
      </c>
      <c r="K64" s="5">
        <v>7</v>
      </c>
      <c r="L64" s="3" t="s">
        <v>43</v>
      </c>
      <c r="M64" s="4">
        <v>7.2917013887767803</v>
      </c>
      <c r="N64" s="3" t="s">
        <v>61</v>
      </c>
      <c r="O64" s="3" t="s">
        <v>29</v>
      </c>
      <c r="P64" s="5">
        <v>13</v>
      </c>
      <c r="Q64" s="5">
        <v>751</v>
      </c>
      <c r="R64" s="5">
        <v>14</v>
      </c>
      <c r="S64" s="4">
        <v>21.048642725168602</v>
      </c>
      <c r="T64" s="3" t="s">
        <v>64</v>
      </c>
      <c r="U64" s="6">
        <v>1.87400140404438E-2</v>
      </c>
      <c r="V64" s="3" t="s">
        <v>56</v>
      </c>
      <c r="W64" s="3" t="s">
        <v>41</v>
      </c>
      <c r="X64" s="4">
        <v>320.84651575911198</v>
      </c>
    </row>
    <row r="65" spans="1:24" ht="15" customHeight="1">
      <c r="A65" s="7" t="s">
        <v>33</v>
      </c>
      <c r="B65" s="7" t="s">
        <v>117</v>
      </c>
      <c r="C65" s="8">
        <v>13.017376785287899</v>
      </c>
      <c r="D65" s="7">
        <v>55</v>
      </c>
      <c r="E65" s="9">
        <v>246</v>
      </c>
      <c r="F65" s="8">
        <v>4256.9491408502299</v>
      </c>
      <c r="G65" s="7" t="s">
        <v>26</v>
      </c>
      <c r="H65" s="9">
        <v>54</v>
      </c>
      <c r="I65" s="9">
        <v>19</v>
      </c>
      <c r="J65" s="9">
        <v>10</v>
      </c>
      <c r="K65" s="9">
        <v>4</v>
      </c>
      <c r="L65" s="7" t="s">
        <v>36</v>
      </c>
      <c r="M65" s="8">
        <v>2.45793352798733</v>
      </c>
      <c r="N65" s="7" t="s">
        <v>28</v>
      </c>
      <c r="O65" s="7" t="s">
        <v>53</v>
      </c>
      <c r="P65" s="9">
        <v>18</v>
      </c>
      <c r="Q65" s="9">
        <v>736</v>
      </c>
      <c r="R65" s="9">
        <v>10</v>
      </c>
      <c r="S65" s="8">
        <v>20.075003975630501</v>
      </c>
      <c r="T65" s="7" t="s">
        <v>30</v>
      </c>
      <c r="U65" s="10">
        <v>3.6328432903821303E-2</v>
      </c>
      <c r="V65" s="7" t="s">
        <v>56</v>
      </c>
      <c r="W65" s="7" t="s">
        <v>48</v>
      </c>
      <c r="X65" s="8">
        <v>687.28617786641701</v>
      </c>
    </row>
    <row r="66" spans="1:24" ht="15" customHeight="1">
      <c r="A66" s="3" t="s">
        <v>33</v>
      </c>
      <c r="B66" s="3" t="s">
        <v>118</v>
      </c>
      <c r="C66" s="4">
        <v>89.634095608135297</v>
      </c>
      <c r="D66" s="3">
        <v>11</v>
      </c>
      <c r="E66" s="5">
        <v>134</v>
      </c>
      <c r="F66" s="4">
        <v>8458.7308783671797</v>
      </c>
      <c r="G66" s="3" t="s">
        <v>35</v>
      </c>
      <c r="H66" s="5">
        <v>73</v>
      </c>
      <c r="I66" s="5">
        <v>27</v>
      </c>
      <c r="J66" s="5">
        <v>75</v>
      </c>
      <c r="K66" s="5">
        <v>6</v>
      </c>
      <c r="L66" s="3" t="s">
        <v>43</v>
      </c>
      <c r="M66" s="4">
        <v>4.5853534681946497</v>
      </c>
      <c r="N66" s="3" t="s">
        <v>39</v>
      </c>
      <c r="O66" s="3" t="s">
        <v>50</v>
      </c>
      <c r="P66" s="5">
        <v>17</v>
      </c>
      <c r="Q66" s="5">
        <v>328</v>
      </c>
      <c r="R66" s="5">
        <v>6</v>
      </c>
      <c r="S66" s="4">
        <v>8.6930424258772891</v>
      </c>
      <c r="T66" s="3" t="s">
        <v>46</v>
      </c>
      <c r="U66" s="6">
        <v>1.5948631471751501E-3</v>
      </c>
      <c r="V66" s="3" t="s">
        <v>40</v>
      </c>
      <c r="W66" s="3" t="s">
        <v>41</v>
      </c>
      <c r="X66" s="4">
        <v>771.22508468115802</v>
      </c>
    </row>
    <row r="67" spans="1:24" ht="15" customHeight="1">
      <c r="A67" s="7" t="s">
        <v>33</v>
      </c>
      <c r="B67" s="7" t="s">
        <v>119</v>
      </c>
      <c r="C67" s="8">
        <v>33.697717206643098</v>
      </c>
      <c r="D67" s="7">
        <v>72</v>
      </c>
      <c r="E67" s="9">
        <v>457</v>
      </c>
      <c r="F67" s="8">
        <v>8354.5796864820004</v>
      </c>
      <c r="G67" s="7" t="s">
        <v>55</v>
      </c>
      <c r="H67" s="9">
        <v>57</v>
      </c>
      <c r="I67" s="9">
        <v>24</v>
      </c>
      <c r="J67" s="9">
        <v>54</v>
      </c>
      <c r="K67" s="9">
        <v>8</v>
      </c>
      <c r="L67" s="7" t="s">
        <v>43</v>
      </c>
      <c r="M67" s="8">
        <v>6.5805413478846004</v>
      </c>
      <c r="N67" s="7" t="s">
        <v>44</v>
      </c>
      <c r="O67" s="7" t="s">
        <v>45</v>
      </c>
      <c r="P67" s="9">
        <v>16</v>
      </c>
      <c r="Q67" s="9">
        <v>358</v>
      </c>
      <c r="R67" s="9">
        <v>21</v>
      </c>
      <c r="S67" s="8">
        <v>1.59722274305068</v>
      </c>
      <c r="T67" s="7" t="s">
        <v>46</v>
      </c>
      <c r="U67" s="10">
        <v>4.9110959548423302E-2</v>
      </c>
      <c r="V67" s="7" t="s">
        <v>47</v>
      </c>
      <c r="W67" s="7" t="s">
        <v>41</v>
      </c>
      <c r="X67" s="8">
        <v>555.85910367174404</v>
      </c>
    </row>
    <row r="68" spans="1:24" ht="15" customHeight="1">
      <c r="A68" s="3" t="s">
        <v>33</v>
      </c>
      <c r="B68" s="3" t="s">
        <v>120</v>
      </c>
      <c r="C68" s="4">
        <v>26.0348697739621</v>
      </c>
      <c r="D68" s="3">
        <v>52</v>
      </c>
      <c r="E68" s="5">
        <v>704</v>
      </c>
      <c r="F68" s="4">
        <v>8367.7216180201503</v>
      </c>
      <c r="G68" s="3" t="s">
        <v>35</v>
      </c>
      <c r="H68" s="5">
        <v>13</v>
      </c>
      <c r="I68" s="5">
        <v>17</v>
      </c>
      <c r="J68" s="5">
        <v>19</v>
      </c>
      <c r="K68" s="5">
        <v>8</v>
      </c>
      <c r="L68" s="3" t="s">
        <v>36</v>
      </c>
      <c r="M68" s="4">
        <v>2.2161427287713602</v>
      </c>
      <c r="N68" s="3" t="s">
        <v>44</v>
      </c>
      <c r="O68" s="3" t="s">
        <v>45</v>
      </c>
      <c r="P68" s="5">
        <v>24</v>
      </c>
      <c r="Q68" s="5">
        <v>867</v>
      </c>
      <c r="R68" s="5">
        <v>28</v>
      </c>
      <c r="S68" s="4">
        <v>42.084436738310004</v>
      </c>
      <c r="T68" s="3" t="s">
        <v>46</v>
      </c>
      <c r="U68" s="6">
        <v>3.4480632883402598E-2</v>
      </c>
      <c r="V68" s="3" t="s">
        <v>31</v>
      </c>
      <c r="W68" s="3" t="s">
        <v>48</v>
      </c>
      <c r="X68" s="4">
        <v>393.84334857842799</v>
      </c>
    </row>
    <row r="69" spans="1:24" ht="15" customHeight="1">
      <c r="A69" s="7" t="s">
        <v>33</v>
      </c>
      <c r="B69" s="7" t="s">
        <v>121</v>
      </c>
      <c r="C69" s="8">
        <v>87.755432354001101</v>
      </c>
      <c r="D69" s="7">
        <v>16</v>
      </c>
      <c r="E69" s="9">
        <v>513</v>
      </c>
      <c r="F69" s="8">
        <v>9473.7980325083408</v>
      </c>
      <c r="G69" s="7" t="s">
        <v>38</v>
      </c>
      <c r="H69" s="9">
        <v>12</v>
      </c>
      <c r="I69" s="9">
        <v>9</v>
      </c>
      <c r="J69" s="9">
        <v>71</v>
      </c>
      <c r="K69" s="9">
        <v>9</v>
      </c>
      <c r="L69" s="7" t="s">
        <v>43</v>
      </c>
      <c r="M69" s="8">
        <v>9.1478115447106294</v>
      </c>
      <c r="N69" s="7" t="s">
        <v>39</v>
      </c>
      <c r="O69" s="7" t="s">
        <v>29</v>
      </c>
      <c r="P69" s="9">
        <v>10</v>
      </c>
      <c r="Q69" s="9">
        <v>198</v>
      </c>
      <c r="R69" s="9">
        <v>11</v>
      </c>
      <c r="S69" s="8">
        <v>7.0578761469782298</v>
      </c>
      <c r="T69" s="7" t="s">
        <v>64</v>
      </c>
      <c r="U69" s="10">
        <v>1.3195544431181499E-3</v>
      </c>
      <c r="V69" s="7" t="s">
        <v>56</v>
      </c>
      <c r="W69" s="7" t="s">
        <v>41</v>
      </c>
      <c r="X69" s="8">
        <v>169.27180138478701</v>
      </c>
    </row>
    <row r="70" spans="1:24" ht="15" customHeight="1">
      <c r="A70" s="3" t="s">
        <v>24</v>
      </c>
      <c r="B70" s="3" t="s">
        <v>122</v>
      </c>
      <c r="C70" s="4">
        <v>37.931812382790298</v>
      </c>
      <c r="D70" s="3">
        <v>29</v>
      </c>
      <c r="E70" s="5">
        <v>163</v>
      </c>
      <c r="F70" s="4">
        <v>3550.21843278099</v>
      </c>
      <c r="G70" s="3" t="s">
        <v>26</v>
      </c>
      <c r="H70" s="5">
        <v>0</v>
      </c>
      <c r="I70" s="5">
        <v>8</v>
      </c>
      <c r="J70" s="5">
        <v>58</v>
      </c>
      <c r="K70" s="5">
        <v>8</v>
      </c>
      <c r="L70" s="3" t="s">
        <v>27</v>
      </c>
      <c r="M70" s="4">
        <v>1.194251864885</v>
      </c>
      <c r="N70" s="3" t="s">
        <v>61</v>
      </c>
      <c r="O70" s="3" t="s">
        <v>53</v>
      </c>
      <c r="P70" s="5">
        <v>2</v>
      </c>
      <c r="Q70" s="5">
        <v>375</v>
      </c>
      <c r="R70" s="5">
        <v>18</v>
      </c>
      <c r="S70" s="4">
        <v>97.113581563462205</v>
      </c>
      <c r="T70" s="3" t="s">
        <v>46</v>
      </c>
      <c r="U70" s="6">
        <v>1.98346787217418E-2</v>
      </c>
      <c r="V70" s="3" t="s">
        <v>47</v>
      </c>
      <c r="W70" s="3" t="s">
        <v>48</v>
      </c>
      <c r="X70" s="4">
        <v>299.70630311810299</v>
      </c>
    </row>
    <row r="71" spans="1:24" ht="15" customHeight="1">
      <c r="A71" s="7" t="s">
        <v>33</v>
      </c>
      <c r="B71" s="7" t="s">
        <v>123</v>
      </c>
      <c r="C71" s="8">
        <v>54.865528517069798</v>
      </c>
      <c r="D71" s="7">
        <v>62</v>
      </c>
      <c r="E71" s="9">
        <v>511</v>
      </c>
      <c r="F71" s="8">
        <v>1752.3810874841299</v>
      </c>
      <c r="G71" s="7" t="s">
        <v>26</v>
      </c>
      <c r="H71" s="9">
        <v>95</v>
      </c>
      <c r="I71" s="9">
        <v>1</v>
      </c>
      <c r="J71" s="9">
        <v>27</v>
      </c>
      <c r="K71" s="9">
        <v>3</v>
      </c>
      <c r="L71" s="7" t="s">
        <v>27</v>
      </c>
      <c r="M71" s="8">
        <v>9.7052867901203506</v>
      </c>
      <c r="N71" s="7" t="s">
        <v>52</v>
      </c>
      <c r="O71" s="7" t="s">
        <v>45</v>
      </c>
      <c r="P71" s="9">
        <v>9</v>
      </c>
      <c r="Q71" s="9">
        <v>862</v>
      </c>
      <c r="R71" s="9">
        <v>7</v>
      </c>
      <c r="S71" s="8">
        <v>77.627765812748194</v>
      </c>
      <c r="T71" s="7" t="s">
        <v>30</v>
      </c>
      <c r="U71" s="10">
        <v>1.3623879886491099E-2</v>
      </c>
      <c r="V71" s="7" t="s">
        <v>40</v>
      </c>
      <c r="W71" s="7" t="s">
        <v>48</v>
      </c>
      <c r="X71" s="8">
        <v>207.66320620857601</v>
      </c>
    </row>
    <row r="72" spans="1:24" ht="15" customHeight="1">
      <c r="A72" s="3" t="s">
        <v>24</v>
      </c>
      <c r="B72" s="3" t="s">
        <v>124</v>
      </c>
      <c r="C72" s="4">
        <v>47.914541824058801</v>
      </c>
      <c r="D72" s="3">
        <v>90</v>
      </c>
      <c r="E72" s="5">
        <v>32</v>
      </c>
      <c r="F72" s="4">
        <v>7014.8879872033904</v>
      </c>
      <c r="G72" s="3" t="s">
        <v>35</v>
      </c>
      <c r="H72" s="5">
        <v>10</v>
      </c>
      <c r="I72" s="5">
        <v>12</v>
      </c>
      <c r="J72" s="5">
        <v>22</v>
      </c>
      <c r="K72" s="5">
        <v>4</v>
      </c>
      <c r="L72" s="3" t="s">
        <v>27</v>
      </c>
      <c r="M72" s="4">
        <v>6.3157177546007199</v>
      </c>
      <c r="N72" s="3" t="s">
        <v>39</v>
      </c>
      <c r="O72" s="3" t="s">
        <v>53</v>
      </c>
      <c r="P72" s="5">
        <v>22</v>
      </c>
      <c r="Q72" s="5">
        <v>775</v>
      </c>
      <c r="R72" s="5">
        <v>16</v>
      </c>
      <c r="S72" s="4">
        <v>11.4407818237613</v>
      </c>
      <c r="T72" s="3" t="s">
        <v>64</v>
      </c>
      <c r="U72" s="6">
        <v>1.8305755986122298E-2</v>
      </c>
      <c r="V72" s="3" t="s">
        <v>31</v>
      </c>
      <c r="W72" s="3" t="s">
        <v>41</v>
      </c>
      <c r="X72" s="4">
        <v>183.27289874871099</v>
      </c>
    </row>
    <row r="73" spans="1:24" ht="15" customHeight="1">
      <c r="A73" s="7" t="s">
        <v>57</v>
      </c>
      <c r="B73" s="7" t="s">
        <v>125</v>
      </c>
      <c r="C73" s="8">
        <v>6.3815331627479699</v>
      </c>
      <c r="D73" s="7">
        <v>14</v>
      </c>
      <c r="E73" s="9">
        <v>637</v>
      </c>
      <c r="F73" s="8">
        <v>8180.3370854254399</v>
      </c>
      <c r="G73" s="7" t="s">
        <v>35</v>
      </c>
      <c r="H73" s="9">
        <v>76</v>
      </c>
      <c r="I73" s="9">
        <v>2</v>
      </c>
      <c r="J73" s="9">
        <v>26</v>
      </c>
      <c r="K73" s="9">
        <v>6</v>
      </c>
      <c r="L73" s="7" t="s">
        <v>36</v>
      </c>
      <c r="M73" s="8">
        <v>9.2281903170525208</v>
      </c>
      <c r="N73" s="7" t="s">
        <v>61</v>
      </c>
      <c r="O73" s="7" t="s">
        <v>53</v>
      </c>
      <c r="P73" s="9">
        <v>2</v>
      </c>
      <c r="Q73" s="9">
        <v>258</v>
      </c>
      <c r="R73" s="9">
        <v>10</v>
      </c>
      <c r="S73" s="8">
        <v>30.661677477859602</v>
      </c>
      <c r="T73" s="7" t="s">
        <v>30</v>
      </c>
      <c r="U73" s="10">
        <v>2.0787506078749698E-2</v>
      </c>
      <c r="V73" s="7" t="s">
        <v>31</v>
      </c>
      <c r="W73" s="7" t="s">
        <v>48</v>
      </c>
      <c r="X73" s="8">
        <v>405.16706788885602</v>
      </c>
    </row>
    <row r="74" spans="1:24" ht="15" customHeight="1">
      <c r="A74" s="3" t="s">
        <v>57</v>
      </c>
      <c r="B74" s="3" t="s">
        <v>126</v>
      </c>
      <c r="C74" s="4">
        <v>90.2044275205281</v>
      </c>
      <c r="D74" s="3">
        <v>88</v>
      </c>
      <c r="E74" s="5">
        <v>478</v>
      </c>
      <c r="F74" s="4">
        <v>2633.1219813122598</v>
      </c>
      <c r="G74" s="3" t="s">
        <v>26</v>
      </c>
      <c r="H74" s="5">
        <v>57</v>
      </c>
      <c r="I74" s="5">
        <v>29</v>
      </c>
      <c r="J74" s="5">
        <v>77</v>
      </c>
      <c r="K74" s="5">
        <v>9</v>
      </c>
      <c r="L74" s="3" t="s">
        <v>36</v>
      </c>
      <c r="M74" s="4">
        <v>6.5996141596895397</v>
      </c>
      <c r="N74" s="3" t="s">
        <v>39</v>
      </c>
      <c r="O74" s="3" t="s">
        <v>53</v>
      </c>
      <c r="P74" s="5">
        <v>21</v>
      </c>
      <c r="Q74" s="5">
        <v>152</v>
      </c>
      <c r="R74" s="5">
        <v>11</v>
      </c>
      <c r="S74" s="4">
        <v>55.760492895244198</v>
      </c>
      <c r="T74" s="3" t="s">
        <v>30</v>
      </c>
      <c r="U74" s="6">
        <v>3.2133296074383103E-2</v>
      </c>
      <c r="V74" s="3" t="s">
        <v>47</v>
      </c>
      <c r="W74" s="3" t="s">
        <v>32</v>
      </c>
      <c r="X74" s="4">
        <v>677.94456984618296</v>
      </c>
    </row>
    <row r="75" spans="1:24" ht="15" customHeight="1">
      <c r="A75" s="7" t="s">
        <v>57</v>
      </c>
      <c r="B75" s="7" t="s">
        <v>127</v>
      </c>
      <c r="C75" s="8">
        <v>83.851017681304597</v>
      </c>
      <c r="D75" s="7">
        <v>41</v>
      </c>
      <c r="E75" s="9">
        <v>375</v>
      </c>
      <c r="F75" s="8">
        <v>7910.8869161406901</v>
      </c>
      <c r="G75" s="7" t="s">
        <v>55</v>
      </c>
      <c r="H75" s="9">
        <v>17</v>
      </c>
      <c r="I75" s="9">
        <v>25</v>
      </c>
      <c r="J75" s="9">
        <v>66</v>
      </c>
      <c r="K75" s="9">
        <v>5</v>
      </c>
      <c r="L75" s="7" t="s">
        <v>27</v>
      </c>
      <c r="M75" s="8">
        <v>1.5129368369160801</v>
      </c>
      <c r="N75" s="7" t="s">
        <v>52</v>
      </c>
      <c r="O75" s="7" t="s">
        <v>62</v>
      </c>
      <c r="P75" s="9">
        <v>13</v>
      </c>
      <c r="Q75" s="9">
        <v>444</v>
      </c>
      <c r="R75" s="9">
        <v>4</v>
      </c>
      <c r="S75" s="8">
        <v>46.870238797617198</v>
      </c>
      <c r="T75" s="7" t="s">
        <v>46</v>
      </c>
      <c r="U75" s="10">
        <v>4.62054606451371E-2</v>
      </c>
      <c r="V75" s="7" t="s">
        <v>31</v>
      </c>
      <c r="W75" s="7" t="s">
        <v>48</v>
      </c>
      <c r="X75" s="8">
        <v>866.47280012965803</v>
      </c>
    </row>
    <row r="76" spans="1:24" ht="15" customHeight="1">
      <c r="A76" s="3" t="s">
        <v>24</v>
      </c>
      <c r="B76" s="3" t="s">
        <v>128</v>
      </c>
      <c r="C76" s="4">
        <v>3.1700114135661601</v>
      </c>
      <c r="D76" s="3">
        <v>64</v>
      </c>
      <c r="E76" s="5">
        <v>904</v>
      </c>
      <c r="F76" s="4">
        <v>5709.9452959692899</v>
      </c>
      <c r="G76" s="3" t="s">
        <v>35</v>
      </c>
      <c r="H76" s="5">
        <v>41</v>
      </c>
      <c r="I76" s="5">
        <v>6</v>
      </c>
      <c r="J76" s="5">
        <v>1</v>
      </c>
      <c r="K76" s="5">
        <v>5</v>
      </c>
      <c r="L76" s="3" t="s">
        <v>36</v>
      </c>
      <c r="M76" s="4">
        <v>5.2376546500374497</v>
      </c>
      <c r="N76" s="3" t="s">
        <v>52</v>
      </c>
      <c r="O76" s="3" t="s">
        <v>50</v>
      </c>
      <c r="P76" s="5">
        <v>1</v>
      </c>
      <c r="Q76" s="5">
        <v>919</v>
      </c>
      <c r="R76" s="5">
        <v>9</v>
      </c>
      <c r="S76" s="4">
        <v>80.580852156447804</v>
      </c>
      <c r="T76" s="3" t="s">
        <v>46</v>
      </c>
      <c r="U76" s="6">
        <v>3.9661272410993504E-3</v>
      </c>
      <c r="V76" s="3" t="s">
        <v>47</v>
      </c>
      <c r="W76" s="3" t="s">
        <v>48</v>
      </c>
      <c r="X76" s="4">
        <v>341.55265678322297</v>
      </c>
    </row>
    <row r="77" spans="1:24" ht="15" customHeight="1">
      <c r="A77" s="7" t="s">
        <v>33</v>
      </c>
      <c r="B77" s="7" t="s">
        <v>129</v>
      </c>
      <c r="C77" s="8">
        <v>92.996884233970704</v>
      </c>
      <c r="D77" s="7">
        <v>29</v>
      </c>
      <c r="E77" s="9">
        <v>106</v>
      </c>
      <c r="F77" s="8">
        <v>1889.07358977934</v>
      </c>
      <c r="G77" s="7" t="s">
        <v>26</v>
      </c>
      <c r="H77" s="9">
        <v>16</v>
      </c>
      <c r="I77" s="9">
        <v>20</v>
      </c>
      <c r="J77" s="9">
        <v>56</v>
      </c>
      <c r="K77" s="9">
        <v>10</v>
      </c>
      <c r="L77" s="7" t="s">
        <v>43</v>
      </c>
      <c r="M77" s="8">
        <v>2.47389776104546</v>
      </c>
      <c r="N77" s="7" t="s">
        <v>39</v>
      </c>
      <c r="O77" s="7" t="s">
        <v>62</v>
      </c>
      <c r="P77" s="9">
        <v>25</v>
      </c>
      <c r="Q77" s="9">
        <v>759</v>
      </c>
      <c r="R77" s="9">
        <v>11</v>
      </c>
      <c r="S77" s="8">
        <v>48.064782640006598</v>
      </c>
      <c r="T77" s="7" t="s">
        <v>64</v>
      </c>
      <c r="U77" s="10">
        <v>2.0300690886687501E-2</v>
      </c>
      <c r="V77" s="7" t="s">
        <v>40</v>
      </c>
      <c r="W77" s="7" t="s">
        <v>41</v>
      </c>
      <c r="X77" s="8">
        <v>873.12964801765099</v>
      </c>
    </row>
    <row r="78" spans="1:24" ht="15" customHeight="1">
      <c r="A78" s="3" t="s">
        <v>24</v>
      </c>
      <c r="B78" s="3" t="s">
        <v>130</v>
      </c>
      <c r="C78" s="4">
        <v>69.108799547430294</v>
      </c>
      <c r="D78" s="3">
        <v>23</v>
      </c>
      <c r="E78" s="5">
        <v>241</v>
      </c>
      <c r="F78" s="4">
        <v>5328.3759842977597</v>
      </c>
      <c r="G78" s="3" t="s">
        <v>55</v>
      </c>
      <c r="H78" s="5">
        <v>38</v>
      </c>
      <c r="I78" s="5">
        <v>1</v>
      </c>
      <c r="J78" s="5">
        <v>22</v>
      </c>
      <c r="K78" s="5">
        <v>10</v>
      </c>
      <c r="L78" s="3" t="s">
        <v>36</v>
      </c>
      <c r="M78" s="4">
        <v>7.0545383368369299</v>
      </c>
      <c r="N78" s="3" t="s">
        <v>61</v>
      </c>
      <c r="O78" s="3" t="s">
        <v>53</v>
      </c>
      <c r="P78" s="5">
        <v>25</v>
      </c>
      <c r="Q78" s="5">
        <v>985</v>
      </c>
      <c r="R78" s="5">
        <v>24</v>
      </c>
      <c r="S78" s="4">
        <v>64.323597795600193</v>
      </c>
      <c r="T78" s="3" t="s">
        <v>30</v>
      </c>
      <c r="U78" s="6">
        <v>2.1800374515822198E-2</v>
      </c>
      <c r="V78" s="3" t="s">
        <v>47</v>
      </c>
      <c r="W78" s="3" t="s">
        <v>48</v>
      </c>
      <c r="X78" s="4">
        <v>997.41345013319506</v>
      </c>
    </row>
    <row r="79" spans="1:24" ht="15" customHeight="1">
      <c r="A79" s="7" t="s">
        <v>24</v>
      </c>
      <c r="B79" s="7" t="s">
        <v>131</v>
      </c>
      <c r="C79" s="8">
        <v>57.449742958971498</v>
      </c>
      <c r="D79" s="7">
        <v>14</v>
      </c>
      <c r="E79" s="9">
        <v>359</v>
      </c>
      <c r="F79" s="8">
        <v>2483.7601775428002</v>
      </c>
      <c r="G79" s="7" t="s">
        <v>38</v>
      </c>
      <c r="H79" s="9">
        <v>96</v>
      </c>
      <c r="I79" s="9">
        <v>28</v>
      </c>
      <c r="J79" s="9">
        <v>57</v>
      </c>
      <c r="K79" s="9">
        <v>4</v>
      </c>
      <c r="L79" s="7" t="s">
        <v>27</v>
      </c>
      <c r="M79" s="8">
        <v>6.7809466256178998</v>
      </c>
      <c r="N79" s="7" t="s">
        <v>39</v>
      </c>
      <c r="O79" s="7" t="s">
        <v>45</v>
      </c>
      <c r="P79" s="9">
        <v>26</v>
      </c>
      <c r="Q79" s="9">
        <v>334</v>
      </c>
      <c r="R79" s="9">
        <v>5</v>
      </c>
      <c r="S79" s="8">
        <v>42.952444748991802</v>
      </c>
      <c r="T79" s="7" t="s">
        <v>64</v>
      </c>
      <c r="U79" s="10">
        <v>3.05514181830755E-2</v>
      </c>
      <c r="V79" s="7" t="s">
        <v>31</v>
      </c>
      <c r="W79" s="7" t="s">
        <v>32</v>
      </c>
      <c r="X79" s="8">
        <v>852.56809891984994</v>
      </c>
    </row>
    <row r="80" spans="1:24" ht="15" customHeight="1">
      <c r="A80" s="3" t="s">
        <v>24</v>
      </c>
      <c r="B80" s="3" t="s">
        <v>132</v>
      </c>
      <c r="C80" s="4">
        <v>6.3068831761119197</v>
      </c>
      <c r="D80" s="3">
        <v>50</v>
      </c>
      <c r="E80" s="5">
        <v>946</v>
      </c>
      <c r="F80" s="4">
        <v>1292.45841793776</v>
      </c>
      <c r="G80" s="3" t="s">
        <v>38</v>
      </c>
      <c r="H80" s="5">
        <v>5</v>
      </c>
      <c r="I80" s="5">
        <v>4</v>
      </c>
      <c r="J80" s="5">
        <v>51</v>
      </c>
      <c r="K80" s="5">
        <v>5</v>
      </c>
      <c r="L80" s="3" t="s">
        <v>27</v>
      </c>
      <c r="M80" s="4">
        <v>8.4670497708619905</v>
      </c>
      <c r="N80" s="3" t="s">
        <v>44</v>
      </c>
      <c r="O80" s="3" t="s">
        <v>29</v>
      </c>
      <c r="P80" s="5">
        <v>25</v>
      </c>
      <c r="Q80" s="5">
        <v>858</v>
      </c>
      <c r="R80" s="5">
        <v>21</v>
      </c>
      <c r="S80" s="4">
        <v>71.126514720403406</v>
      </c>
      <c r="T80" s="3" t="s">
        <v>30</v>
      </c>
      <c r="U80" s="6">
        <v>4.0968813324704499E-2</v>
      </c>
      <c r="V80" s="3" t="s">
        <v>56</v>
      </c>
      <c r="W80" s="3" t="s">
        <v>41</v>
      </c>
      <c r="X80" s="4">
        <v>323.59220343132199</v>
      </c>
    </row>
    <row r="81" spans="1:24" ht="15" customHeight="1">
      <c r="A81" s="7" t="s">
        <v>24</v>
      </c>
      <c r="B81" s="7" t="s">
        <v>133</v>
      </c>
      <c r="C81" s="8">
        <v>57.057031221103202</v>
      </c>
      <c r="D81" s="7">
        <v>56</v>
      </c>
      <c r="E81" s="9">
        <v>198</v>
      </c>
      <c r="F81" s="8">
        <v>7888.7232684270803</v>
      </c>
      <c r="G81" s="7" t="s">
        <v>26</v>
      </c>
      <c r="H81" s="9">
        <v>31</v>
      </c>
      <c r="I81" s="9">
        <v>25</v>
      </c>
      <c r="J81" s="9">
        <v>20</v>
      </c>
      <c r="K81" s="9">
        <v>1</v>
      </c>
      <c r="L81" s="7" t="s">
        <v>27</v>
      </c>
      <c r="M81" s="8">
        <v>6.49632536429504</v>
      </c>
      <c r="N81" s="7" t="s">
        <v>28</v>
      </c>
      <c r="O81" s="7" t="s">
        <v>53</v>
      </c>
      <c r="P81" s="9">
        <v>5</v>
      </c>
      <c r="Q81" s="9">
        <v>228</v>
      </c>
      <c r="R81" s="9">
        <v>12</v>
      </c>
      <c r="S81" s="8">
        <v>57.870902924036301</v>
      </c>
      <c r="T81" s="7" t="s">
        <v>30</v>
      </c>
      <c r="U81" s="10">
        <v>1.65871627480608E-3</v>
      </c>
      <c r="V81" s="7" t="s">
        <v>40</v>
      </c>
      <c r="W81" s="7" t="s">
        <v>41</v>
      </c>
      <c r="X81" s="8">
        <v>351.50421933503901</v>
      </c>
    </row>
    <row r="82" spans="1:24" ht="15" customHeight="1">
      <c r="A82" s="3" t="s">
        <v>33</v>
      </c>
      <c r="B82" s="3" t="s">
        <v>134</v>
      </c>
      <c r="C82" s="4">
        <v>91.128318350444303</v>
      </c>
      <c r="D82" s="3">
        <v>75</v>
      </c>
      <c r="E82" s="5">
        <v>872</v>
      </c>
      <c r="F82" s="4">
        <v>8651.6726829820691</v>
      </c>
      <c r="G82" s="3" t="s">
        <v>38</v>
      </c>
      <c r="H82" s="5">
        <v>39</v>
      </c>
      <c r="I82" s="5">
        <v>14</v>
      </c>
      <c r="J82" s="5">
        <v>41</v>
      </c>
      <c r="K82" s="5">
        <v>2</v>
      </c>
      <c r="L82" s="3" t="s">
        <v>43</v>
      </c>
      <c r="M82" s="4">
        <v>2.8331846794189799</v>
      </c>
      <c r="N82" s="3" t="s">
        <v>28</v>
      </c>
      <c r="O82" s="3" t="s">
        <v>62</v>
      </c>
      <c r="P82" s="5">
        <v>8</v>
      </c>
      <c r="Q82" s="5">
        <v>202</v>
      </c>
      <c r="R82" s="5">
        <v>5</v>
      </c>
      <c r="S82" s="4">
        <v>76.961228023819999</v>
      </c>
      <c r="T82" s="3" t="s">
        <v>46</v>
      </c>
      <c r="U82" s="6">
        <v>2.8496621985053299E-2</v>
      </c>
      <c r="V82" s="3" t="s">
        <v>56</v>
      </c>
      <c r="W82" s="3" t="s">
        <v>32</v>
      </c>
      <c r="X82" s="4">
        <v>787.77985049434506</v>
      </c>
    </row>
    <row r="83" spans="1:24" ht="15" customHeight="1">
      <c r="A83" s="7" t="s">
        <v>24</v>
      </c>
      <c r="B83" s="7" t="s">
        <v>135</v>
      </c>
      <c r="C83" s="8">
        <v>72.819206930318202</v>
      </c>
      <c r="D83" s="7">
        <v>9</v>
      </c>
      <c r="E83" s="9">
        <v>774</v>
      </c>
      <c r="F83" s="8">
        <v>4384.4134000458598</v>
      </c>
      <c r="G83" s="7" t="s">
        <v>38</v>
      </c>
      <c r="H83" s="9">
        <v>48</v>
      </c>
      <c r="I83" s="9">
        <v>6</v>
      </c>
      <c r="J83" s="9">
        <v>8</v>
      </c>
      <c r="K83" s="9">
        <v>5</v>
      </c>
      <c r="L83" s="7" t="s">
        <v>27</v>
      </c>
      <c r="M83" s="8">
        <v>4.0662775015120403</v>
      </c>
      <c r="N83" s="7" t="s">
        <v>28</v>
      </c>
      <c r="O83" s="7" t="s">
        <v>50</v>
      </c>
      <c r="P83" s="9">
        <v>28</v>
      </c>
      <c r="Q83" s="9">
        <v>698</v>
      </c>
      <c r="R83" s="9">
        <v>1</v>
      </c>
      <c r="S83" s="8">
        <v>19.789592941903599</v>
      </c>
      <c r="T83" s="7" t="s">
        <v>30</v>
      </c>
      <c r="U83" s="10">
        <v>2.54754712154871E-2</v>
      </c>
      <c r="V83" s="7" t="s">
        <v>47</v>
      </c>
      <c r="W83" s="7" t="s">
        <v>32</v>
      </c>
      <c r="X83" s="8">
        <v>276.77833594679902</v>
      </c>
    </row>
    <row r="84" spans="1:24" ht="15" customHeight="1">
      <c r="A84" s="3" t="s">
        <v>33</v>
      </c>
      <c r="B84" s="3" t="s">
        <v>136</v>
      </c>
      <c r="C84" s="4">
        <v>17.034930739467899</v>
      </c>
      <c r="D84" s="3">
        <v>13</v>
      </c>
      <c r="E84" s="5">
        <v>336</v>
      </c>
      <c r="F84" s="4">
        <v>2943.3818676094502</v>
      </c>
      <c r="G84" s="3" t="s">
        <v>38</v>
      </c>
      <c r="H84" s="5">
        <v>42</v>
      </c>
      <c r="I84" s="5">
        <v>19</v>
      </c>
      <c r="J84" s="5">
        <v>72</v>
      </c>
      <c r="K84" s="5">
        <v>1</v>
      </c>
      <c r="L84" s="3" t="s">
        <v>36</v>
      </c>
      <c r="M84" s="4">
        <v>4.7081818735419301</v>
      </c>
      <c r="N84" s="3" t="s">
        <v>61</v>
      </c>
      <c r="O84" s="3" t="s">
        <v>29</v>
      </c>
      <c r="P84" s="5">
        <v>6</v>
      </c>
      <c r="Q84" s="5">
        <v>955</v>
      </c>
      <c r="R84" s="5">
        <v>26</v>
      </c>
      <c r="S84" s="4">
        <v>4.4652784349432402</v>
      </c>
      <c r="T84" s="3" t="s">
        <v>30</v>
      </c>
      <c r="U84" s="6">
        <v>4.1378770486223598E-2</v>
      </c>
      <c r="V84" s="3" t="s">
        <v>31</v>
      </c>
      <c r="W84" s="3" t="s">
        <v>41</v>
      </c>
      <c r="X84" s="4">
        <v>589.97855562804102</v>
      </c>
    </row>
    <row r="85" spans="1:24" ht="15" customHeight="1">
      <c r="A85" s="7" t="s">
        <v>24</v>
      </c>
      <c r="B85" s="7" t="s">
        <v>137</v>
      </c>
      <c r="C85" s="8">
        <v>68.911246211606297</v>
      </c>
      <c r="D85" s="7">
        <v>82</v>
      </c>
      <c r="E85" s="9">
        <v>663</v>
      </c>
      <c r="F85" s="8">
        <v>2411.7546321104901</v>
      </c>
      <c r="G85" s="7" t="s">
        <v>38</v>
      </c>
      <c r="H85" s="9">
        <v>65</v>
      </c>
      <c r="I85" s="9">
        <v>24</v>
      </c>
      <c r="J85" s="9">
        <v>7</v>
      </c>
      <c r="K85" s="9">
        <v>8</v>
      </c>
      <c r="L85" s="7" t="s">
        <v>27</v>
      </c>
      <c r="M85" s="8">
        <v>4.9498395779969497</v>
      </c>
      <c r="N85" s="7" t="s">
        <v>39</v>
      </c>
      <c r="O85" s="7" t="s">
        <v>53</v>
      </c>
      <c r="P85" s="9">
        <v>20</v>
      </c>
      <c r="Q85" s="9">
        <v>443</v>
      </c>
      <c r="R85" s="9">
        <v>5</v>
      </c>
      <c r="S85" s="8">
        <v>97.730593800533001</v>
      </c>
      <c r="T85" s="7" t="s">
        <v>46</v>
      </c>
      <c r="U85" s="10">
        <v>7.7300613406724797E-3</v>
      </c>
      <c r="V85" s="7" t="s">
        <v>31</v>
      </c>
      <c r="W85" s="7" t="s">
        <v>48</v>
      </c>
      <c r="X85" s="8">
        <v>682.97101822609295</v>
      </c>
    </row>
    <row r="86" spans="1:24" ht="15" customHeight="1">
      <c r="A86" s="3" t="s">
        <v>24</v>
      </c>
      <c r="B86" s="3" t="s">
        <v>138</v>
      </c>
      <c r="C86" s="4">
        <v>89.104367292102296</v>
      </c>
      <c r="D86" s="3">
        <v>99</v>
      </c>
      <c r="E86" s="5">
        <v>618</v>
      </c>
      <c r="F86" s="4">
        <v>2048.2900998487098</v>
      </c>
      <c r="G86" s="3" t="s">
        <v>38</v>
      </c>
      <c r="H86" s="5">
        <v>73</v>
      </c>
      <c r="I86" s="5">
        <v>26</v>
      </c>
      <c r="J86" s="5">
        <v>80</v>
      </c>
      <c r="K86" s="5">
        <v>10</v>
      </c>
      <c r="L86" s="3" t="s">
        <v>36</v>
      </c>
      <c r="M86" s="4">
        <v>8.3816156249226292</v>
      </c>
      <c r="N86" s="3" t="s">
        <v>44</v>
      </c>
      <c r="O86" s="3" t="s">
        <v>62</v>
      </c>
      <c r="P86" s="5">
        <v>24</v>
      </c>
      <c r="Q86" s="5">
        <v>589</v>
      </c>
      <c r="R86" s="5">
        <v>22</v>
      </c>
      <c r="S86" s="4">
        <v>33.808636513209102</v>
      </c>
      <c r="T86" s="3" t="s">
        <v>64</v>
      </c>
      <c r="U86" s="6">
        <v>4.8434565771180403E-2</v>
      </c>
      <c r="V86" s="3" t="s">
        <v>40</v>
      </c>
      <c r="W86" s="3" t="s">
        <v>32</v>
      </c>
      <c r="X86" s="4">
        <v>465.457005963688</v>
      </c>
    </row>
    <row r="87" spans="1:24" ht="15" customHeight="1">
      <c r="A87" s="7" t="s">
        <v>57</v>
      </c>
      <c r="B87" s="7" t="s">
        <v>139</v>
      </c>
      <c r="C87" s="8">
        <v>76.962994415193904</v>
      </c>
      <c r="D87" s="7">
        <v>83</v>
      </c>
      <c r="E87" s="9">
        <v>25</v>
      </c>
      <c r="F87" s="8">
        <v>8684.6130592538593</v>
      </c>
      <c r="G87" s="7" t="s">
        <v>35</v>
      </c>
      <c r="H87" s="9">
        <v>15</v>
      </c>
      <c r="I87" s="9">
        <v>18</v>
      </c>
      <c r="J87" s="9">
        <v>66</v>
      </c>
      <c r="K87" s="9">
        <v>2</v>
      </c>
      <c r="L87" s="7" t="s">
        <v>43</v>
      </c>
      <c r="M87" s="8">
        <v>8.2491687048717299</v>
      </c>
      <c r="N87" s="7" t="s">
        <v>44</v>
      </c>
      <c r="O87" s="7" t="s">
        <v>62</v>
      </c>
      <c r="P87" s="9">
        <v>4</v>
      </c>
      <c r="Q87" s="9">
        <v>211</v>
      </c>
      <c r="R87" s="9">
        <v>2</v>
      </c>
      <c r="S87" s="8">
        <v>69.929345518672307</v>
      </c>
      <c r="T87" s="7" t="s">
        <v>46</v>
      </c>
      <c r="U87" s="10">
        <v>1.3744289997457601E-2</v>
      </c>
      <c r="V87" s="7" t="s">
        <v>31</v>
      </c>
      <c r="W87" s="7" t="s">
        <v>32</v>
      </c>
      <c r="X87" s="8">
        <v>842.68683000464205</v>
      </c>
    </row>
    <row r="88" spans="1:24" ht="15" customHeight="1">
      <c r="A88" s="3" t="s">
        <v>33</v>
      </c>
      <c r="B88" s="3" t="s">
        <v>140</v>
      </c>
      <c r="C88" s="4">
        <v>19.9981769404042</v>
      </c>
      <c r="D88" s="3">
        <v>18</v>
      </c>
      <c r="E88" s="5">
        <v>223</v>
      </c>
      <c r="F88" s="4">
        <v>1229.59102856498</v>
      </c>
      <c r="G88" s="3" t="s">
        <v>38</v>
      </c>
      <c r="H88" s="5">
        <v>32</v>
      </c>
      <c r="I88" s="5">
        <v>14</v>
      </c>
      <c r="J88" s="5">
        <v>22</v>
      </c>
      <c r="K88" s="5">
        <v>6</v>
      </c>
      <c r="L88" s="3" t="s">
        <v>27</v>
      </c>
      <c r="M88" s="4">
        <v>1.4543053101535499</v>
      </c>
      <c r="N88" s="3" t="s">
        <v>39</v>
      </c>
      <c r="O88" s="3" t="s">
        <v>29</v>
      </c>
      <c r="P88" s="5">
        <v>4</v>
      </c>
      <c r="Q88" s="5">
        <v>569</v>
      </c>
      <c r="R88" s="5">
        <v>18</v>
      </c>
      <c r="S88" s="4">
        <v>74.608969995194698</v>
      </c>
      <c r="T88" s="3" t="s">
        <v>64</v>
      </c>
      <c r="U88" s="6">
        <v>2.05151293076625E-2</v>
      </c>
      <c r="V88" s="3" t="s">
        <v>47</v>
      </c>
      <c r="W88" s="3" t="s">
        <v>48</v>
      </c>
      <c r="X88" s="4">
        <v>264.254889835867</v>
      </c>
    </row>
    <row r="89" spans="1:24" ht="15" customHeight="1">
      <c r="A89" s="7" t="s">
        <v>24</v>
      </c>
      <c r="B89" s="7" t="s">
        <v>141</v>
      </c>
      <c r="C89" s="8">
        <v>80.414036650355698</v>
      </c>
      <c r="D89" s="7">
        <v>24</v>
      </c>
      <c r="E89" s="9">
        <v>79</v>
      </c>
      <c r="F89" s="8">
        <v>5133.8467010866898</v>
      </c>
      <c r="G89" s="7" t="s">
        <v>55</v>
      </c>
      <c r="H89" s="9">
        <v>5</v>
      </c>
      <c r="I89" s="9">
        <v>7</v>
      </c>
      <c r="J89" s="9">
        <v>55</v>
      </c>
      <c r="K89" s="9">
        <v>10</v>
      </c>
      <c r="L89" s="7" t="s">
        <v>36</v>
      </c>
      <c r="M89" s="8">
        <v>6.5758037975485397</v>
      </c>
      <c r="N89" s="7" t="s">
        <v>28</v>
      </c>
      <c r="O89" s="7" t="s">
        <v>62</v>
      </c>
      <c r="P89" s="9">
        <v>27</v>
      </c>
      <c r="Q89" s="9">
        <v>523</v>
      </c>
      <c r="R89" s="9">
        <v>17</v>
      </c>
      <c r="S89" s="8">
        <v>28.696996824143199</v>
      </c>
      <c r="T89" s="7" t="s">
        <v>46</v>
      </c>
      <c r="U89" s="10">
        <v>3.6937377878392803E-2</v>
      </c>
      <c r="V89" s="7" t="s">
        <v>56</v>
      </c>
      <c r="W89" s="7" t="s">
        <v>32</v>
      </c>
      <c r="X89" s="8">
        <v>879.35921773492396</v>
      </c>
    </row>
    <row r="90" spans="1:24" ht="15" customHeight="1">
      <c r="A90" s="3" t="s">
        <v>57</v>
      </c>
      <c r="B90" s="3" t="s">
        <v>142</v>
      </c>
      <c r="C90" s="4">
        <v>75.270406975724995</v>
      </c>
      <c r="D90" s="3">
        <v>58</v>
      </c>
      <c r="E90" s="5">
        <v>737</v>
      </c>
      <c r="F90" s="4">
        <v>9444.7420330629793</v>
      </c>
      <c r="G90" s="3" t="s">
        <v>55</v>
      </c>
      <c r="H90" s="5">
        <v>60</v>
      </c>
      <c r="I90" s="5">
        <v>18</v>
      </c>
      <c r="J90" s="5">
        <v>85</v>
      </c>
      <c r="K90" s="5">
        <v>7</v>
      </c>
      <c r="L90" s="3" t="s">
        <v>36</v>
      </c>
      <c r="M90" s="4">
        <v>3.8012531329310799</v>
      </c>
      <c r="N90" s="3" t="s">
        <v>61</v>
      </c>
      <c r="O90" s="3" t="s">
        <v>29</v>
      </c>
      <c r="P90" s="5">
        <v>21</v>
      </c>
      <c r="Q90" s="5">
        <v>953</v>
      </c>
      <c r="R90" s="5">
        <v>11</v>
      </c>
      <c r="S90" s="4">
        <v>68.184919057041199</v>
      </c>
      <c r="T90" s="3" t="s">
        <v>30</v>
      </c>
      <c r="U90" s="6">
        <v>7.22204401882931E-3</v>
      </c>
      <c r="V90" s="3" t="s">
        <v>56</v>
      </c>
      <c r="W90" s="3" t="s">
        <v>48</v>
      </c>
      <c r="X90" s="4">
        <v>103.91624796070499</v>
      </c>
    </row>
    <row r="91" spans="1:24" ht="15" customHeight="1">
      <c r="A91" s="7" t="s">
        <v>57</v>
      </c>
      <c r="B91" s="7" t="s">
        <v>143</v>
      </c>
      <c r="C91" s="8">
        <v>97.760085581938696</v>
      </c>
      <c r="D91" s="7">
        <v>10</v>
      </c>
      <c r="E91" s="9">
        <v>134</v>
      </c>
      <c r="F91" s="8">
        <v>5924.6825668532301</v>
      </c>
      <c r="G91" s="7" t="s">
        <v>38</v>
      </c>
      <c r="H91" s="9">
        <v>90</v>
      </c>
      <c r="I91" s="9">
        <v>1</v>
      </c>
      <c r="J91" s="9">
        <v>27</v>
      </c>
      <c r="K91" s="9">
        <v>8</v>
      </c>
      <c r="L91" s="7" t="s">
        <v>27</v>
      </c>
      <c r="M91" s="8">
        <v>9.9298162452772605</v>
      </c>
      <c r="N91" s="7" t="s">
        <v>39</v>
      </c>
      <c r="O91" s="7" t="s">
        <v>45</v>
      </c>
      <c r="P91" s="9">
        <v>23</v>
      </c>
      <c r="Q91" s="9">
        <v>370</v>
      </c>
      <c r="R91" s="9">
        <v>11</v>
      </c>
      <c r="S91" s="8">
        <v>46.603873381644497</v>
      </c>
      <c r="T91" s="7" t="s">
        <v>30</v>
      </c>
      <c r="U91" s="10">
        <v>1.90766573395907E-2</v>
      </c>
      <c r="V91" s="7" t="s">
        <v>47</v>
      </c>
      <c r="W91" s="7" t="s">
        <v>32</v>
      </c>
      <c r="X91" s="8">
        <v>517.49997392906096</v>
      </c>
    </row>
    <row r="92" spans="1:24" ht="15" customHeight="1">
      <c r="A92" s="3" t="s">
        <v>33</v>
      </c>
      <c r="B92" s="3" t="s">
        <v>144</v>
      </c>
      <c r="C92" s="4">
        <v>13.881913501359101</v>
      </c>
      <c r="D92" s="3">
        <v>56</v>
      </c>
      <c r="E92" s="5">
        <v>320</v>
      </c>
      <c r="F92" s="4">
        <v>9592.6335702803099</v>
      </c>
      <c r="G92" s="3" t="s">
        <v>26</v>
      </c>
      <c r="H92" s="5">
        <v>66</v>
      </c>
      <c r="I92" s="5">
        <v>18</v>
      </c>
      <c r="J92" s="5">
        <v>96</v>
      </c>
      <c r="K92" s="5">
        <v>7</v>
      </c>
      <c r="L92" s="3" t="s">
        <v>27</v>
      </c>
      <c r="M92" s="4">
        <v>7.6744307081126903</v>
      </c>
      <c r="N92" s="3" t="s">
        <v>28</v>
      </c>
      <c r="O92" s="3" t="s">
        <v>53</v>
      </c>
      <c r="P92" s="5">
        <v>8</v>
      </c>
      <c r="Q92" s="5">
        <v>585</v>
      </c>
      <c r="R92" s="5">
        <v>8</v>
      </c>
      <c r="S92" s="4">
        <v>85.675963335798002</v>
      </c>
      <c r="T92" s="3" t="s">
        <v>64</v>
      </c>
      <c r="U92" s="6">
        <v>1.2193822244013899E-2</v>
      </c>
      <c r="V92" s="3" t="s">
        <v>47</v>
      </c>
      <c r="W92" s="3" t="s">
        <v>32</v>
      </c>
      <c r="X92" s="4">
        <v>990.07847250581096</v>
      </c>
    </row>
    <row r="93" spans="1:24" ht="15" customHeight="1">
      <c r="A93" s="7" t="s">
        <v>57</v>
      </c>
      <c r="B93" s="7" t="s">
        <v>145</v>
      </c>
      <c r="C93" s="8">
        <v>62.111965463961802</v>
      </c>
      <c r="D93" s="7">
        <v>90</v>
      </c>
      <c r="E93" s="9">
        <v>916</v>
      </c>
      <c r="F93" s="8">
        <v>1935.2067935076</v>
      </c>
      <c r="G93" s="7" t="s">
        <v>55</v>
      </c>
      <c r="H93" s="9">
        <v>98</v>
      </c>
      <c r="I93" s="9">
        <v>22</v>
      </c>
      <c r="J93" s="9">
        <v>85</v>
      </c>
      <c r="K93" s="9">
        <v>7</v>
      </c>
      <c r="L93" s="7" t="s">
        <v>27</v>
      </c>
      <c r="M93" s="8">
        <v>7.4715140844011501</v>
      </c>
      <c r="N93" s="7" t="s">
        <v>52</v>
      </c>
      <c r="O93" s="7" t="s">
        <v>50</v>
      </c>
      <c r="P93" s="9">
        <v>5</v>
      </c>
      <c r="Q93" s="9">
        <v>207</v>
      </c>
      <c r="R93" s="9">
        <v>28</v>
      </c>
      <c r="S93" s="8">
        <v>39.772882502340003</v>
      </c>
      <c r="T93" s="7" t="s">
        <v>30</v>
      </c>
      <c r="U93" s="10">
        <v>6.2600185820939503E-3</v>
      </c>
      <c r="V93" s="7" t="s">
        <v>47</v>
      </c>
      <c r="W93" s="7" t="s">
        <v>32</v>
      </c>
      <c r="X93" s="8">
        <v>996.77831495062401</v>
      </c>
    </row>
    <row r="94" spans="1:24" ht="15" customHeight="1">
      <c r="A94" s="3" t="s">
        <v>57</v>
      </c>
      <c r="B94" s="3" t="s">
        <v>146</v>
      </c>
      <c r="C94" s="4">
        <v>47.714233075820196</v>
      </c>
      <c r="D94" s="3">
        <v>44</v>
      </c>
      <c r="E94" s="5">
        <v>276</v>
      </c>
      <c r="F94" s="4">
        <v>2100.1297546259402</v>
      </c>
      <c r="G94" s="3" t="s">
        <v>55</v>
      </c>
      <c r="H94" s="5">
        <v>90</v>
      </c>
      <c r="I94" s="5">
        <v>25</v>
      </c>
      <c r="J94" s="5">
        <v>10</v>
      </c>
      <c r="K94" s="5">
        <v>8</v>
      </c>
      <c r="L94" s="3" t="s">
        <v>27</v>
      </c>
      <c r="M94" s="4">
        <v>4.4695000261236002</v>
      </c>
      <c r="N94" s="3" t="s">
        <v>61</v>
      </c>
      <c r="O94" s="3" t="s">
        <v>29</v>
      </c>
      <c r="P94" s="5">
        <v>4</v>
      </c>
      <c r="Q94" s="5">
        <v>671</v>
      </c>
      <c r="R94" s="5">
        <v>29</v>
      </c>
      <c r="S94" s="4">
        <v>62.612690395614301</v>
      </c>
      <c r="T94" s="3" t="s">
        <v>64</v>
      </c>
      <c r="U94" s="6">
        <v>3.3343182522473898E-3</v>
      </c>
      <c r="V94" s="3" t="s">
        <v>47</v>
      </c>
      <c r="W94" s="3" t="s">
        <v>32</v>
      </c>
      <c r="X94" s="4">
        <v>230.092782536763</v>
      </c>
    </row>
    <row r="95" spans="1:24" ht="15" customHeight="1">
      <c r="A95" s="7" t="s">
        <v>24</v>
      </c>
      <c r="B95" s="7" t="s">
        <v>147</v>
      </c>
      <c r="C95" s="8">
        <v>69.290831002905506</v>
      </c>
      <c r="D95" s="7">
        <v>88</v>
      </c>
      <c r="E95" s="9">
        <v>114</v>
      </c>
      <c r="F95" s="8">
        <v>4531.4021336919104</v>
      </c>
      <c r="G95" s="7" t="s">
        <v>38</v>
      </c>
      <c r="H95" s="9">
        <v>63</v>
      </c>
      <c r="I95" s="9">
        <v>17</v>
      </c>
      <c r="J95" s="9">
        <v>66</v>
      </c>
      <c r="K95" s="9">
        <v>1</v>
      </c>
      <c r="L95" s="7" t="s">
        <v>43</v>
      </c>
      <c r="M95" s="8">
        <v>7.00643205900439</v>
      </c>
      <c r="N95" s="7" t="s">
        <v>52</v>
      </c>
      <c r="O95" s="7" t="s">
        <v>62</v>
      </c>
      <c r="P95" s="9">
        <v>21</v>
      </c>
      <c r="Q95" s="9">
        <v>824</v>
      </c>
      <c r="R95" s="9">
        <v>20</v>
      </c>
      <c r="S95" s="8">
        <v>35.633652343343897</v>
      </c>
      <c r="T95" s="7" t="s">
        <v>46</v>
      </c>
      <c r="U95" s="10">
        <v>4.1657817954241498E-2</v>
      </c>
      <c r="V95" s="7" t="s">
        <v>40</v>
      </c>
      <c r="W95" s="7" t="s">
        <v>48</v>
      </c>
      <c r="X95" s="8">
        <v>823.52384588815596</v>
      </c>
    </row>
    <row r="96" spans="1:24" ht="15" customHeight="1">
      <c r="A96" s="3" t="s">
        <v>57</v>
      </c>
      <c r="B96" s="3" t="s">
        <v>148</v>
      </c>
      <c r="C96" s="4">
        <v>3.0376887246314102</v>
      </c>
      <c r="D96" s="3">
        <v>97</v>
      </c>
      <c r="E96" s="5">
        <v>987</v>
      </c>
      <c r="F96" s="4">
        <v>7888.3565466618702</v>
      </c>
      <c r="G96" s="3" t="s">
        <v>38</v>
      </c>
      <c r="H96" s="5">
        <v>77</v>
      </c>
      <c r="I96" s="5">
        <v>26</v>
      </c>
      <c r="J96" s="5">
        <v>72</v>
      </c>
      <c r="K96" s="5">
        <v>9</v>
      </c>
      <c r="L96" s="3" t="s">
        <v>27</v>
      </c>
      <c r="M96" s="4">
        <v>6.9429459420325799</v>
      </c>
      <c r="N96" s="3" t="s">
        <v>61</v>
      </c>
      <c r="O96" s="3" t="s">
        <v>50</v>
      </c>
      <c r="P96" s="5">
        <v>12</v>
      </c>
      <c r="Q96" s="5">
        <v>908</v>
      </c>
      <c r="R96" s="5">
        <v>14</v>
      </c>
      <c r="S96" s="4">
        <v>60.387378614862101</v>
      </c>
      <c r="T96" s="3" t="s">
        <v>64</v>
      </c>
      <c r="U96" s="6">
        <v>1.46360749847278E-2</v>
      </c>
      <c r="V96" s="3" t="s">
        <v>47</v>
      </c>
      <c r="W96" s="3" t="s">
        <v>32</v>
      </c>
      <c r="X96" s="4">
        <v>846.665256986695</v>
      </c>
    </row>
    <row r="97" spans="1:24" ht="15" customHeight="1">
      <c r="A97" s="7" t="s">
        <v>24</v>
      </c>
      <c r="B97" s="7" t="s">
        <v>149</v>
      </c>
      <c r="C97" s="8">
        <v>77.903927219447795</v>
      </c>
      <c r="D97" s="7">
        <v>65</v>
      </c>
      <c r="E97" s="9">
        <v>672</v>
      </c>
      <c r="F97" s="8">
        <v>7386.3639440486604</v>
      </c>
      <c r="G97" s="7" t="s">
        <v>38</v>
      </c>
      <c r="H97" s="9">
        <v>15</v>
      </c>
      <c r="I97" s="9">
        <v>14</v>
      </c>
      <c r="J97" s="9">
        <v>26</v>
      </c>
      <c r="K97" s="9">
        <v>9</v>
      </c>
      <c r="L97" s="7" t="s">
        <v>27</v>
      </c>
      <c r="M97" s="8">
        <v>8.6303388696027508</v>
      </c>
      <c r="N97" s="7" t="s">
        <v>52</v>
      </c>
      <c r="O97" s="7" t="s">
        <v>29</v>
      </c>
      <c r="P97" s="9">
        <v>18</v>
      </c>
      <c r="Q97" s="9">
        <v>450</v>
      </c>
      <c r="R97" s="9">
        <v>26</v>
      </c>
      <c r="S97" s="8">
        <v>58.890685768589996</v>
      </c>
      <c r="T97" s="7" t="s">
        <v>30</v>
      </c>
      <c r="U97" s="10">
        <v>1.21088212958507E-2</v>
      </c>
      <c r="V97" s="7" t="s">
        <v>40</v>
      </c>
      <c r="W97" s="7" t="s">
        <v>48</v>
      </c>
      <c r="X97" s="8">
        <v>778.86424137664801</v>
      </c>
    </row>
    <row r="98" spans="1:24" ht="15" customHeight="1">
      <c r="A98" s="3" t="s">
        <v>57</v>
      </c>
      <c r="B98" s="3" t="s">
        <v>150</v>
      </c>
      <c r="C98" s="4">
        <v>24.423131420373402</v>
      </c>
      <c r="D98" s="3">
        <v>29</v>
      </c>
      <c r="E98" s="5">
        <v>324</v>
      </c>
      <c r="F98" s="4">
        <v>7698.4247656321204</v>
      </c>
      <c r="G98" s="3" t="s">
        <v>26</v>
      </c>
      <c r="H98" s="5">
        <v>67</v>
      </c>
      <c r="I98" s="5">
        <v>2</v>
      </c>
      <c r="J98" s="5">
        <v>32</v>
      </c>
      <c r="K98" s="5">
        <v>3</v>
      </c>
      <c r="L98" s="3" t="s">
        <v>43</v>
      </c>
      <c r="M98" s="4">
        <v>5.3528780439968102</v>
      </c>
      <c r="N98" s="3" t="s">
        <v>28</v>
      </c>
      <c r="O98" s="3" t="s">
        <v>29</v>
      </c>
      <c r="P98" s="5">
        <v>28</v>
      </c>
      <c r="Q98" s="5">
        <v>648</v>
      </c>
      <c r="R98" s="5">
        <v>28</v>
      </c>
      <c r="S98" s="4">
        <v>17.803756331391298</v>
      </c>
      <c r="T98" s="3" t="s">
        <v>30</v>
      </c>
      <c r="U98" s="6">
        <v>3.8720476814821297E-2</v>
      </c>
      <c r="V98" s="3" t="s">
        <v>31</v>
      </c>
      <c r="W98" s="3" t="s">
        <v>48</v>
      </c>
      <c r="X98" s="4">
        <v>188.74214114905701</v>
      </c>
    </row>
    <row r="99" spans="1:24" ht="15" customHeight="1">
      <c r="A99" s="7" t="s">
        <v>24</v>
      </c>
      <c r="B99" s="7" t="s">
        <v>151</v>
      </c>
      <c r="C99" s="8">
        <v>3.5261112591434198</v>
      </c>
      <c r="D99" s="7">
        <v>56</v>
      </c>
      <c r="E99" s="9">
        <v>62</v>
      </c>
      <c r="F99" s="8">
        <v>4370.9165799845396</v>
      </c>
      <c r="G99" s="7" t="s">
        <v>55</v>
      </c>
      <c r="H99" s="9">
        <v>46</v>
      </c>
      <c r="I99" s="9">
        <v>19</v>
      </c>
      <c r="J99" s="9">
        <v>4</v>
      </c>
      <c r="K99" s="9">
        <v>9</v>
      </c>
      <c r="L99" s="7" t="s">
        <v>36</v>
      </c>
      <c r="M99" s="8">
        <v>7.9048456112096801</v>
      </c>
      <c r="N99" s="7" t="s">
        <v>52</v>
      </c>
      <c r="O99" s="7" t="s">
        <v>29</v>
      </c>
      <c r="P99" s="9">
        <v>10</v>
      </c>
      <c r="Q99" s="9">
        <v>535</v>
      </c>
      <c r="R99" s="9">
        <v>13</v>
      </c>
      <c r="S99" s="8">
        <v>65.765155926367498</v>
      </c>
      <c r="T99" s="7" t="s">
        <v>46</v>
      </c>
      <c r="U99" s="10">
        <v>3.3762378347179801E-2</v>
      </c>
      <c r="V99" s="7" t="s">
        <v>31</v>
      </c>
      <c r="W99" s="7" t="s">
        <v>48</v>
      </c>
      <c r="X99" s="8">
        <v>540.13242286796799</v>
      </c>
    </row>
    <row r="100" spans="1:24" ht="15" customHeight="1">
      <c r="A100" s="3" t="s">
        <v>33</v>
      </c>
      <c r="B100" s="3" t="s">
        <v>152</v>
      </c>
      <c r="C100" s="4">
        <v>19.754604866878601</v>
      </c>
      <c r="D100" s="3">
        <v>43</v>
      </c>
      <c r="E100" s="5">
        <v>913</v>
      </c>
      <c r="F100" s="4">
        <v>8525.9525596835301</v>
      </c>
      <c r="G100" s="3" t="s">
        <v>35</v>
      </c>
      <c r="H100" s="5">
        <v>53</v>
      </c>
      <c r="I100" s="5">
        <v>1</v>
      </c>
      <c r="J100" s="5">
        <v>27</v>
      </c>
      <c r="K100" s="5">
        <v>7</v>
      </c>
      <c r="L100" s="3" t="s">
        <v>27</v>
      </c>
      <c r="M100" s="4">
        <v>1.4098010951380699</v>
      </c>
      <c r="N100" s="3" t="s">
        <v>44</v>
      </c>
      <c r="O100" s="3" t="s">
        <v>62</v>
      </c>
      <c r="P100" s="5">
        <v>28</v>
      </c>
      <c r="Q100" s="5">
        <v>581</v>
      </c>
      <c r="R100" s="5">
        <v>9</v>
      </c>
      <c r="S100" s="4">
        <v>5.6046908643717801</v>
      </c>
      <c r="T100" s="3" t="s">
        <v>30</v>
      </c>
      <c r="U100" s="6">
        <v>2.9081221693512599E-2</v>
      </c>
      <c r="V100" s="3" t="s">
        <v>47</v>
      </c>
      <c r="W100" s="3" t="s">
        <v>48</v>
      </c>
      <c r="X100" s="4">
        <v>882.19886354704204</v>
      </c>
    </row>
    <row r="101" spans="1:24" ht="15" customHeight="1">
      <c r="A101" s="7" t="s">
        <v>24</v>
      </c>
      <c r="B101" s="7" t="s">
        <v>153</v>
      </c>
      <c r="C101" s="8">
        <v>68.517832699276596</v>
      </c>
      <c r="D101" s="7">
        <v>17</v>
      </c>
      <c r="E101" s="9">
        <v>627</v>
      </c>
      <c r="F101" s="8">
        <v>9185.1858291817007</v>
      </c>
      <c r="G101" s="7" t="s">
        <v>38</v>
      </c>
      <c r="H101" s="9">
        <v>55</v>
      </c>
      <c r="I101" s="9">
        <v>8</v>
      </c>
      <c r="J101" s="9">
        <v>59</v>
      </c>
      <c r="K101" s="9">
        <v>6</v>
      </c>
      <c r="L101" s="7" t="s">
        <v>27</v>
      </c>
      <c r="M101" s="8">
        <v>1.3110237561206199</v>
      </c>
      <c r="N101" s="7" t="s">
        <v>61</v>
      </c>
      <c r="O101" s="7" t="s">
        <v>62</v>
      </c>
      <c r="P101" s="9">
        <v>29</v>
      </c>
      <c r="Q101" s="9">
        <v>921</v>
      </c>
      <c r="R101" s="9">
        <v>2</v>
      </c>
      <c r="S101" s="8">
        <v>38.072898520625998</v>
      </c>
      <c r="T101" s="7" t="s">
        <v>46</v>
      </c>
      <c r="U101" s="10">
        <v>3.46027290705503E-3</v>
      </c>
      <c r="V101" s="7" t="s">
        <v>47</v>
      </c>
      <c r="W101" s="7" t="s">
        <v>32</v>
      </c>
      <c r="X101" s="8">
        <v>210.743008964246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A1:K10"/>
  <sheetViews>
    <sheetView showGridLines="0" zoomScaleNormal="100" workbookViewId="0">
      <selection activeCell="G10" sqref="G10"/>
    </sheetView>
  </sheetViews>
  <sheetFormatPr defaultColWidth="8.7109375" defaultRowHeight="15"/>
  <cols>
    <col min="1" max="1" width="18" style="1" customWidth="1"/>
    <col min="2" max="2" width="12" style="1" customWidth="1"/>
    <col min="3" max="3" width="14" style="1" customWidth="1"/>
    <col min="4" max="4" width="16" style="1" customWidth="1"/>
    <col min="5" max="5" width="18" style="1" customWidth="1"/>
    <col min="6" max="6" width="16" style="1" customWidth="1"/>
    <col min="7" max="7" width="20" style="1" customWidth="1"/>
    <col min="8" max="8" width="22" style="1" customWidth="1"/>
    <col min="10" max="10" width="16" style="1" customWidth="1"/>
    <col min="11" max="11" width="54" style="1" customWidth="1"/>
  </cols>
  <sheetData>
    <row r="1" spans="1:11" ht="31.5" customHeight="1">
      <c r="A1" s="53" t="s">
        <v>154</v>
      </c>
      <c r="B1" s="53"/>
      <c r="C1" s="53"/>
      <c r="D1" s="53"/>
      <c r="E1" s="53"/>
      <c r="F1" s="53"/>
      <c r="G1" s="53"/>
      <c r="H1" s="53"/>
    </row>
    <row r="2" spans="1:11" ht="15.75" customHeight="1">
      <c r="A2" s="54" t="s">
        <v>155</v>
      </c>
      <c r="B2" s="54"/>
      <c r="C2" s="54"/>
      <c r="D2" s="54"/>
      <c r="E2" s="54"/>
      <c r="F2" s="54"/>
      <c r="G2" s="54"/>
      <c r="H2" s="54"/>
    </row>
    <row r="3" spans="1:11" ht="15" customHeight="1">
      <c r="J3" s="11" t="s">
        <v>156</v>
      </c>
    </row>
    <row r="4" spans="1:11" ht="15.75" customHeight="1">
      <c r="A4" s="2" t="s">
        <v>157</v>
      </c>
      <c r="B4" s="2" t="s">
        <v>158</v>
      </c>
      <c r="C4" s="2" t="s">
        <v>159</v>
      </c>
      <c r="D4" s="2" t="s">
        <v>160</v>
      </c>
      <c r="E4" s="2" t="s">
        <v>161</v>
      </c>
      <c r="F4" s="2" t="s">
        <v>162</v>
      </c>
      <c r="G4" s="2" t="s">
        <v>163</v>
      </c>
      <c r="H4" s="2" t="s">
        <v>164</v>
      </c>
      <c r="J4" s="12" t="s">
        <v>165</v>
      </c>
      <c r="K4" s="13">
        <f>COUNTIF(RawData[Product type], A5)</f>
        <v>26</v>
      </c>
    </row>
    <row r="5" spans="1:11" ht="15.75" customHeight="1">
      <c r="A5" s="14" t="s">
        <v>57</v>
      </c>
      <c r="B5" s="15">
        <f>COUNTIF(RawData[Product type],A5)</f>
        <v>26</v>
      </c>
      <c r="C5" s="15">
        <f>SUMIF(RawData[Product type],A5,RawData[Number of products sold])</f>
        <v>11757</v>
      </c>
      <c r="D5" s="16">
        <f>SUMIF(RawData[Product type],A5,RawData[Revenue generated])</f>
        <v>161521.26599948315</v>
      </c>
      <c r="E5" s="17">
        <f>D5/SUM($D$5:$D$7)</f>
        <v>0.27963974807617792</v>
      </c>
      <c r="F5" s="16">
        <f>AVERAGEIF(RawData[Product type],A5,RawData[Price])</f>
        <v>57.361057599328326</v>
      </c>
      <c r="G5" s="18">
        <f>AVERAGEIF(RawData[Product type],A5,RawData[Defect rates])/100</f>
        <v>1.919286978281318E-4</v>
      </c>
      <c r="H5" s="19">
        <f>AVERAGEIF(RawData[Product type],A5,RawData[Lead times])</f>
        <v>15.384615384615385</v>
      </c>
      <c r="J5" s="12" t="s">
        <v>166</v>
      </c>
      <c r="K5" s="13">
        <f>SUMIF(RawData[Product type], A5, RawData[Number of products sold])</f>
        <v>11757</v>
      </c>
    </row>
    <row r="6" spans="1:11" ht="15.75" customHeight="1">
      <c r="A6" s="20" t="s">
        <v>24</v>
      </c>
      <c r="B6" s="21">
        <f>COUNTIF(RawData[Product type],A6)</f>
        <v>34</v>
      </c>
      <c r="C6" s="21">
        <f>SUMIF(RawData[Product type],A6,RawData[Number of products sold])</f>
        <v>13611</v>
      </c>
      <c r="D6" s="22">
        <f>SUMIF(RawData[Product type],A6,RawData[Revenue generated])</f>
        <v>174455.39060546231</v>
      </c>
      <c r="E6" s="23">
        <f>D6/SUM($D$5:$D$7)</f>
        <v>0.30203243627126353</v>
      </c>
      <c r="F6" s="22">
        <f>AVERAGEIF(RawData[Product type],A6,RawData[Price])</f>
        <v>46.014278873737723</v>
      </c>
      <c r="G6" s="24">
        <f>AVERAGEIF(RawData[Product type],A6,RawData[Defect rates])/100</f>
        <v>2.4831501929246247E-4</v>
      </c>
      <c r="H6" s="25">
        <f>AVERAGEIF(RawData[Product type],A6,RawData[Lead times])</f>
        <v>15.529411764705882</v>
      </c>
      <c r="J6" s="12" t="s">
        <v>167</v>
      </c>
      <c r="K6" s="13">
        <f>SUMIF(RawData[Product type], A5, RawData[Revenue generated])</f>
        <v>161521.26599948315</v>
      </c>
    </row>
    <row r="7" spans="1:11" ht="15.75" customHeight="1">
      <c r="A7" s="14" t="s">
        <v>33</v>
      </c>
      <c r="B7" s="15">
        <f>COUNTIF(RawData[Product type],A7)</f>
        <v>40</v>
      </c>
      <c r="C7" s="15">
        <f>SUMIF(RawData[Product type],A7,RawData[Number of products sold])</f>
        <v>20731</v>
      </c>
      <c r="D7" s="16">
        <f>SUMIF(RawData[Product type],A7,RawData[Revenue generated])</f>
        <v>241628.16213306325</v>
      </c>
      <c r="E7" s="17">
        <f>D7/SUM($D$5:$D$7)</f>
        <v>0.41832781565255872</v>
      </c>
      <c r="F7" s="16">
        <f>AVERAGEIF(RawData[Product type],A7,RawData[Price])</f>
        <v>47.259328879368766</v>
      </c>
      <c r="G7" s="18">
        <f>AVERAGEIF(RawData[Product type],A7,RawData[Defect rates])/100</f>
        <v>2.3346807819802368E-4</v>
      </c>
      <c r="H7" s="19">
        <f>AVERAGEIF(RawData[Product type],A7,RawData[Lead times])</f>
        <v>16.7</v>
      </c>
      <c r="J7" s="12" t="s">
        <v>168</v>
      </c>
      <c r="K7" s="13" t="s">
        <v>169</v>
      </c>
    </row>
    <row r="8" spans="1:11" ht="15.75" customHeight="1">
      <c r="A8" s="26" t="s">
        <v>170</v>
      </c>
      <c r="B8" s="27">
        <f>SUM(B5:B7)</f>
        <v>100</v>
      </c>
      <c r="C8" s="27">
        <f>SUM(C5:C7)</f>
        <v>46099</v>
      </c>
      <c r="D8" s="28">
        <f>SUM(D5:D7)</f>
        <v>577604.81873800862</v>
      </c>
      <c r="E8" s="29">
        <f>SUM(E5:E7)</f>
        <v>1.0000000000000002</v>
      </c>
      <c r="F8" s="28">
        <f>AVERAGE(F5:F7)</f>
        <v>50.211555117478269</v>
      </c>
      <c r="G8" s="30">
        <f>AVERAGE(G5:G7)</f>
        <v>2.2457059843953932E-4</v>
      </c>
      <c r="H8" s="31">
        <f>AVERAGE(H5:H7)</f>
        <v>15.871342383107089</v>
      </c>
      <c r="J8" s="12" t="s">
        <v>171</v>
      </c>
      <c r="K8" s="13">
        <f>AVERAGEIF(RawData[Product type], A5, RawData[Price])</f>
        <v>57.361057599328326</v>
      </c>
    </row>
    <row r="9" spans="1:11" ht="15.75" customHeight="1">
      <c r="J9" s="12" t="s">
        <v>172</v>
      </c>
      <c r="K9" s="13">
        <f>AVERAGEIF(RawData[Product type], A5, RawData[Defect rates]) / 100</f>
        <v>1.919286978281318E-4</v>
      </c>
    </row>
    <row r="10" spans="1:11" ht="15.75" customHeight="1">
      <c r="J10" s="12" t="s">
        <v>173</v>
      </c>
      <c r="K10" s="13">
        <f>AVERAGEIF(RawData[Product type], A5, RawData[Lead times])</f>
        <v>15.384615384615385</v>
      </c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74C3C"/>
  </sheetPr>
  <dimension ref="A1:L10"/>
  <sheetViews>
    <sheetView showGridLines="0" zoomScaleNormal="100" workbookViewId="0">
      <selection activeCell="H8" sqref="H8"/>
    </sheetView>
  </sheetViews>
  <sheetFormatPr defaultColWidth="8.7109375" defaultRowHeight="15"/>
  <cols>
    <col min="1" max="1" width="14" style="1" customWidth="1"/>
    <col min="2" max="2" width="8" style="1" customWidth="1"/>
    <col min="3" max="4" width="22" style="1" customWidth="1"/>
    <col min="5" max="5" width="18" style="1" customWidth="1"/>
    <col min="6" max="6" width="20" style="1" customWidth="1"/>
    <col min="7" max="7" width="18" style="1" customWidth="1"/>
    <col min="8" max="9" width="22" style="1" customWidth="1"/>
    <col min="11" max="11" width="16" style="1" customWidth="1"/>
    <col min="12" max="12" width="60" style="1" customWidth="1"/>
  </cols>
  <sheetData>
    <row r="1" spans="1:12" ht="31.5" customHeight="1">
      <c r="A1" s="53" t="s">
        <v>174</v>
      </c>
      <c r="B1" s="53"/>
      <c r="C1" s="53"/>
      <c r="D1" s="53"/>
      <c r="E1" s="53"/>
      <c r="F1" s="53"/>
      <c r="G1" s="53"/>
      <c r="H1" s="53"/>
      <c r="I1" s="53"/>
    </row>
    <row r="2" spans="1:12" ht="15.75" customHeight="1">
      <c r="A2" s="54" t="s">
        <v>175</v>
      </c>
      <c r="B2" s="54"/>
      <c r="C2" s="54"/>
      <c r="D2" s="54"/>
      <c r="E2" s="54"/>
      <c r="F2" s="54"/>
      <c r="G2" s="54"/>
      <c r="H2" s="54"/>
      <c r="I2" s="54"/>
    </row>
    <row r="3" spans="1:12" ht="15" customHeight="1">
      <c r="K3" s="11" t="s">
        <v>156</v>
      </c>
    </row>
    <row r="4" spans="1:12" ht="15.75" customHeight="1">
      <c r="A4" s="2" t="s">
        <v>176</v>
      </c>
      <c r="B4" s="2" t="s">
        <v>177</v>
      </c>
      <c r="C4" s="2" t="s">
        <v>164</v>
      </c>
      <c r="D4" s="2" t="s">
        <v>178</v>
      </c>
      <c r="E4" s="2" t="s">
        <v>179</v>
      </c>
      <c r="F4" s="2" t="s">
        <v>163</v>
      </c>
      <c r="G4" s="2" t="s">
        <v>180</v>
      </c>
      <c r="H4" s="2" t="s">
        <v>181</v>
      </c>
      <c r="I4" s="2" t="s">
        <v>182</v>
      </c>
      <c r="K4" s="12" t="s">
        <v>165</v>
      </c>
      <c r="L4" s="13">
        <f>COUNTIF(RawData[Supplier name], A5)</f>
        <v>27</v>
      </c>
    </row>
    <row r="5" spans="1:12" ht="15.75" customHeight="1">
      <c r="A5" s="14" t="s">
        <v>39</v>
      </c>
      <c r="B5" s="15">
        <f>COUNTIF(RawData[Supplier name],A5)</f>
        <v>27</v>
      </c>
      <c r="C5" s="19">
        <f>AVERAGEIF(RawData[Supplier name],A5,RawData[Lead time])</f>
        <v>14.777777777777779</v>
      </c>
      <c r="D5" s="19">
        <f>AVERAGEIF(RawData[Supplier name],A5,RawData[Manufacturing lead time])</f>
        <v>12.592592592592593</v>
      </c>
      <c r="E5" s="16">
        <f>AVERAGEIF(RawData[Supplier name],A5,RawData[Manufacturing costs])</f>
        <v>45.254027195027824</v>
      </c>
      <c r="F5" s="18">
        <f>AVERAGEIF(RawData[Supplier name],A5,RawData[Defect rates])/100</f>
        <v>1.8036297116882534E-4</v>
      </c>
      <c r="G5" s="15">
        <f>SUMIF(RawData[Supplier name],A5,RawData[Production volumes])</f>
        <v>13545</v>
      </c>
      <c r="H5" s="17">
        <f>COUNTIFS(RawData[Supplier name],A5,RawData[Inspection results],"Pass")/COUNTIF(RawData[Supplier name],A5)</f>
        <v>0.48148148148148145</v>
      </c>
      <c r="I5" s="17">
        <f>COUNTIFS(RawData[Supplier name],A5,RawData[Inspection results],"Fail")/COUNTIF(RawData[Supplier name],A5)</f>
        <v>0.22222222222222221</v>
      </c>
      <c r="K5" s="12" t="s">
        <v>166</v>
      </c>
      <c r="L5" s="13">
        <f>AVERAGEIF(RawData[Supplier name], A5, RawData[Lead time])</f>
        <v>14.777777777777779</v>
      </c>
    </row>
    <row r="6" spans="1:12" ht="15.75" customHeight="1">
      <c r="A6" s="20" t="s">
        <v>61</v>
      </c>
      <c r="B6" s="21">
        <f>COUNTIF(RawData[Supplier name],A6)</f>
        <v>22</v>
      </c>
      <c r="C6" s="25">
        <f>AVERAGEIF(RawData[Supplier name],A6,RawData[Lead time])</f>
        <v>18.545454545454547</v>
      </c>
      <c r="D6" s="25">
        <f>AVERAGEIF(RawData[Supplier name],A6,RawData[Manufacturing lead time])</f>
        <v>15.590909090909092</v>
      </c>
      <c r="E6" s="22">
        <f>AVERAGEIF(RawData[Supplier name],A6,RawData[Manufacturing costs])</f>
        <v>41.622514186334563</v>
      </c>
      <c r="F6" s="24">
        <f>AVERAGEIF(RawData[Supplier name],A6,RawData[Defect rates])/100</f>
        <v>2.3627501450718821E-4</v>
      </c>
      <c r="G6" s="21">
        <f>SUMIF(RawData[Supplier name],A6,RawData[Production volumes])</f>
        <v>14105</v>
      </c>
      <c r="H6" s="23">
        <f>COUNTIFS(RawData[Supplier name],A6,RawData[Inspection results],"Pass")/COUNTIF(RawData[Supplier name],A6)</f>
        <v>0.22727272727272727</v>
      </c>
      <c r="I6" s="23">
        <f>COUNTIFS(RawData[Supplier name],A6,RawData[Inspection results],"Fail")/COUNTIF(RawData[Supplier name],A6)</f>
        <v>0.36363636363636365</v>
      </c>
      <c r="K6" s="12" t="s">
        <v>168</v>
      </c>
      <c r="L6" s="13">
        <f>AVERAGEIF(RawData[Supplier name], A5, RawData[Manufacturing costs])</f>
        <v>45.254027195027824</v>
      </c>
    </row>
    <row r="7" spans="1:12" ht="15.75" customHeight="1">
      <c r="A7" s="14" t="s">
        <v>28</v>
      </c>
      <c r="B7" s="15">
        <f>COUNTIF(RawData[Supplier name],A7)</f>
        <v>15</v>
      </c>
      <c r="C7" s="19">
        <f>AVERAGEIF(RawData[Supplier name],A7,RawData[Lead time])</f>
        <v>20.133333333333333</v>
      </c>
      <c r="D7" s="19">
        <f>AVERAGEIF(RawData[Supplier name],A7,RawData[Manufacturing lead time])</f>
        <v>14.933333333333334</v>
      </c>
      <c r="E7" s="16">
        <f>AVERAGEIF(RawData[Supplier name],A7,RawData[Manufacturing costs])</f>
        <v>43.63412131378098</v>
      </c>
      <c r="F7" s="18">
        <f>AVERAGEIF(RawData[Supplier name],A7,RawData[Defect rates])/100</f>
        <v>2.4657860307644703E-4</v>
      </c>
      <c r="G7" s="15">
        <f>SUMIF(RawData[Supplier name],A7,RawData[Production volumes])</f>
        <v>7997</v>
      </c>
      <c r="H7" s="17">
        <f>COUNTIFS(RawData[Supplier name],A7,RawData[Inspection results],"Pass")/COUNTIF(RawData[Supplier name],A7)</f>
        <v>0.13333333333333333</v>
      </c>
      <c r="I7" s="17">
        <f>COUNTIFS(RawData[Supplier name],A7,RawData[Inspection results],"Fail")/COUNTIF(RawData[Supplier name],A7)</f>
        <v>0.2</v>
      </c>
      <c r="K7" s="12" t="s">
        <v>171</v>
      </c>
      <c r="L7" s="13">
        <f>AVERAGEIF(RawData[Supplier name], A5, RawData[Defect rates]) / 100</f>
        <v>1.8036297116882534E-4</v>
      </c>
    </row>
    <row r="8" spans="1:12" ht="15.75" customHeight="1">
      <c r="A8" s="20" t="s">
        <v>52</v>
      </c>
      <c r="B8" s="21">
        <f>COUNTIF(RawData[Supplier name],A8)</f>
        <v>18</v>
      </c>
      <c r="C8" s="25">
        <f>AVERAGEIF(RawData[Supplier name],A8,RawData[Lead time])</f>
        <v>15.222222222222221</v>
      </c>
      <c r="D8" s="25">
        <f>AVERAGEIF(RawData[Supplier name],A8,RawData[Manufacturing lead time])</f>
        <v>15.333333333333334</v>
      </c>
      <c r="E8" s="22">
        <f>AVERAGEIF(RawData[Supplier name],A8,RawData[Manufacturing costs])</f>
        <v>62.709726881875248</v>
      </c>
      <c r="F8" s="24">
        <f>AVERAGEIF(RawData[Supplier name],A8,RawData[Defect rates])/100</f>
        <v>2.3373974005913402E-4</v>
      </c>
      <c r="G8" s="21">
        <f>SUMIF(RawData[Supplier name],A8,RawData[Production volumes])</f>
        <v>11756</v>
      </c>
      <c r="H8" s="23">
        <f>COUNTIFS(RawData[Supplier name],A8,RawData[Inspection results],"Pass")/COUNTIF(RawData[Supplier name],A8)</f>
        <v>0</v>
      </c>
      <c r="I8" s="23">
        <f>COUNTIFS(RawData[Supplier name],A8,RawData[Inspection results],"Fail")/COUNTIF(RawData[Supplier name],A8)</f>
        <v>0.66666666666666663</v>
      </c>
      <c r="K8" s="12" t="s">
        <v>172</v>
      </c>
      <c r="L8" s="13">
        <f>SUMIF(RawData[Supplier name], A5, RawData[Production volumes])</f>
        <v>13545</v>
      </c>
    </row>
    <row r="9" spans="1:12" ht="15.75" customHeight="1">
      <c r="A9" s="14" t="s">
        <v>44</v>
      </c>
      <c r="B9" s="15">
        <f>COUNTIF(RawData[Supplier name],A9)</f>
        <v>18</v>
      </c>
      <c r="C9" s="19">
        <f>AVERAGEIF(RawData[Supplier name],A9,RawData[Lead time])</f>
        <v>18.055555555555557</v>
      </c>
      <c r="D9" s="19">
        <f>AVERAGEIF(RawData[Supplier name],A9,RawData[Manufacturing lead time])</f>
        <v>16.333333333333332</v>
      </c>
      <c r="E9" s="16">
        <f>AVERAGEIF(RawData[Supplier name],A9,RawData[Manufacturing costs])</f>
        <v>44.768243011189526</v>
      </c>
      <c r="F9" s="18">
        <f>AVERAGEIF(RawData[Supplier name],A9,RawData[Defect rates])/100</f>
        <v>2.6654083441492003E-4</v>
      </c>
      <c r="G9" s="15">
        <f>SUMIF(RawData[Supplier name],A9,RawData[Production volumes])</f>
        <v>9381</v>
      </c>
      <c r="H9" s="17">
        <f>COUNTIFS(RawData[Supplier name],A9,RawData[Inspection results],"Pass")/COUNTIF(RawData[Supplier name],A9)</f>
        <v>0.16666666666666666</v>
      </c>
      <c r="I9" s="17">
        <f>COUNTIFS(RawData[Supplier name],A9,RawData[Inspection results],"Fail")/COUNTIF(RawData[Supplier name],A9)</f>
        <v>0.3888888888888889</v>
      </c>
      <c r="K9" s="12" t="s">
        <v>173</v>
      </c>
      <c r="L9" s="13">
        <f>COUNTIFS(RawData[Supplier name],A5,RawData[Inspection results],"Pass")/COUNTIF(RawData[Supplier name],A5)</f>
        <v>0.48148148148148145</v>
      </c>
    </row>
    <row r="10" spans="1:12" ht="15.75" customHeight="1">
      <c r="A10" s="26" t="s">
        <v>183</v>
      </c>
      <c r="B10" s="27">
        <f>SUM(B5:B9)</f>
        <v>100</v>
      </c>
      <c r="C10" s="31">
        <f>AVERAGE(C5:C9)</f>
        <v>17.346868686868689</v>
      </c>
      <c r="D10" s="31">
        <f>AVERAGE(D5:D9)</f>
        <v>14.956700336700337</v>
      </c>
      <c r="E10" s="28">
        <f>AVERAGE(E5:E9)</f>
        <v>47.597726517641625</v>
      </c>
      <c r="F10" s="30">
        <f>AVERAGE(F5:F9)</f>
        <v>2.3269943264530294E-4</v>
      </c>
      <c r="G10" s="27">
        <f>SUM(G5:G9)</f>
        <v>56784</v>
      </c>
      <c r="H10" s="29">
        <f>AVERAGE(H5:H9)</f>
        <v>0.20175084175084174</v>
      </c>
      <c r="I10" s="29">
        <f>AVERAGE(I5:I9)</f>
        <v>0.36828282828282821</v>
      </c>
      <c r="K10" s="12" t="s">
        <v>184</v>
      </c>
      <c r="L10" s="13">
        <f>COUNTIFS(RawData[Supplier name],A5,RawData[Inspection results],"Fail")/COUNTIF(RawData[Supplier name],A5)</f>
        <v>0.22222222222222221</v>
      </c>
    </row>
  </sheetData>
  <mergeCells count="2">
    <mergeCell ref="A1:I1"/>
    <mergeCell ref="A2:I2"/>
  </mergeCells>
  <conditionalFormatting sqref="F5:F9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5:H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5:G9">
    <cfRule type="dataBar" priority="4">
      <dataBar>
        <cfvo type="min"/>
        <cfvo type="max"/>
        <color rgb="FF2E75B6"/>
      </dataBar>
      <extLst>
        <ext xmlns:x14="http://schemas.microsoft.com/office/spreadsheetml/2009/9/main" uri="{B025F937-C7B1-47D3-B67F-A62EFF666E3E}">
          <x14:id>{3CA8EE22-2522-4AD8-B545-10E1737A60AE}</x14:id>
        </ext>
      </extLst>
    </cfRule>
  </conditionalFormatting>
  <pageMargins left="0.75" right="0.75" top="1" bottom="1" header="0.511811023622047" footer="0.511811023622047"/>
  <pageSetup paperSize="9" orientation="portrait" horizontalDpi="300" verticalDpi="30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CA8EE22-2522-4AD8-B545-10E1737A60AE}">
            <x14:dataBar axisPosition="none">
              <x14:cfvo type="min"/>
              <x14:cfvo type="max"/>
              <x14:negativeFillColor rgb="FF2E75B6"/>
            </x14:dataBar>
          </x14:cfRule>
          <xm:sqref>G5:G9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ABC9C"/>
  </sheetPr>
  <dimension ref="A1:N17"/>
  <sheetViews>
    <sheetView showGridLines="0" zoomScaleNormal="100" workbookViewId="0">
      <selection activeCell="G15" sqref="G15"/>
    </sheetView>
  </sheetViews>
  <sheetFormatPr defaultColWidth="8.7109375" defaultRowHeight="15"/>
  <cols>
    <col min="1" max="1" width="10" style="1" customWidth="1"/>
    <col min="2" max="2" width="12" style="1" customWidth="1"/>
    <col min="3" max="3" width="16" style="1" customWidth="1"/>
    <col min="4" max="4" width="18" style="1" customWidth="1"/>
    <col min="5" max="5" width="22" style="1" customWidth="1"/>
    <col min="7" max="8" width="12" style="1" customWidth="1"/>
    <col min="9" max="9" width="20" style="1" customWidth="1"/>
    <col min="10" max="10" width="18" style="1" customWidth="1"/>
    <col min="11" max="11" width="20" style="1" customWidth="1"/>
    <col min="13" max="13" width="16" style="1" customWidth="1"/>
    <col min="14" max="14" width="62" style="1" customWidth="1"/>
  </cols>
  <sheetData>
    <row r="1" spans="1:14" ht="31.5" customHeight="1">
      <c r="A1" s="53" t="s">
        <v>185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</row>
    <row r="2" spans="1:14" ht="15.75" customHeight="1">
      <c r="A2" s="54" t="s">
        <v>186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</row>
    <row r="3" spans="1:14" ht="15" customHeight="1">
      <c r="M3" s="11" t="s">
        <v>156</v>
      </c>
    </row>
    <row r="4" spans="1:14" ht="15.75" customHeight="1">
      <c r="A4" s="55" t="s">
        <v>187</v>
      </c>
      <c r="B4" s="55"/>
      <c r="C4" s="55"/>
      <c r="D4" s="55"/>
      <c r="E4" s="55"/>
      <c r="G4" s="55" t="s">
        <v>188</v>
      </c>
      <c r="H4" s="55"/>
      <c r="I4" s="55"/>
      <c r="J4" s="55"/>
      <c r="K4" s="55"/>
      <c r="M4" s="12" t="s">
        <v>189</v>
      </c>
      <c r="N4" s="13">
        <f>COUNTIF(RawData[Shipping carriers], A6)</f>
        <v>28</v>
      </c>
    </row>
    <row r="5" spans="1:14" ht="15.75" customHeight="1">
      <c r="A5" s="2" t="s">
        <v>190</v>
      </c>
      <c r="B5" s="2" t="s">
        <v>191</v>
      </c>
      <c r="C5" s="2" t="s">
        <v>192</v>
      </c>
      <c r="D5" s="2" t="s">
        <v>193</v>
      </c>
      <c r="E5" s="2" t="s">
        <v>194</v>
      </c>
      <c r="G5" s="2" t="s">
        <v>195</v>
      </c>
      <c r="H5" s="2" t="s">
        <v>191</v>
      </c>
      <c r="I5" s="2" t="s">
        <v>196</v>
      </c>
      <c r="J5" s="2" t="s">
        <v>197</v>
      </c>
      <c r="K5" s="2" t="s">
        <v>163</v>
      </c>
      <c r="M5" s="12" t="s">
        <v>198</v>
      </c>
      <c r="N5" s="13">
        <f>AVERAGEIF(RawData[Shipping carriers], A6, RawData[Shipping times])</f>
        <v>6.1428571428571432</v>
      </c>
    </row>
    <row r="6" spans="1:14" ht="15.75" customHeight="1">
      <c r="A6" s="20" t="s">
        <v>36</v>
      </c>
      <c r="B6" s="21">
        <f>COUNTIF(RawData[Shipping carriers],A6)</f>
        <v>28</v>
      </c>
      <c r="C6" s="25">
        <f>AVERAGEIF(RawData[Shipping carriers],A6,RawData[Shipping times])</f>
        <v>6.1428571428571432</v>
      </c>
      <c r="D6" s="22">
        <f>AVERAGEIF(RawData[Shipping carriers],A6,RawData[Shipping costs])</f>
        <v>5.554922521651271</v>
      </c>
      <c r="E6" s="22">
        <f>SUMIF(RawData[Shipping carriers],A6,RawData[Shipping costs])</f>
        <v>155.53783060623559</v>
      </c>
      <c r="G6" s="20" t="s">
        <v>40</v>
      </c>
      <c r="H6" s="21">
        <f>COUNTIF(RawData[Transportation modes],G6)</f>
        <v>26</v>
      </c>
      <c r="I6" s="22">
        <f>AVERAGEIF(RawData[Transportation modes],G6,RawData[Costs])</f>
        <v>561.71259606206854</v>
      </c>
      <c r="J6" s="22">
        <f>SUMIF(RawData[Transportation modes],G6,RawData[Costs])</f>
        <v>14604.527497613783</v>
      </c>
      <c r="K6" s="24">
        <f>AVERAGEIF(RawData[Transportation modes],G6,RawData[Defect rates])/100</f>
        <v>1.8239235457132962E-4</v>
      </c>
      <c r="M6" s="12" t="s">
        <v>199</v>
      </c>
      <c r="N6" s="13">
        <f>AVERAGEIF(RawData[Shipping carriers], A6, RawData[Shipping costs])</f>
        <v>5.554922521651271</v>
      </c>
    </row>
    <row r="7" spans="1:14" ht="15.75" customHeight="1">
      <c r="A7" s="14" t="s">
        <v>27</v>
      </c>
      <c r="B7" s="15">
        <f>COUNTIF(RawData[Shipping carriers],A7)</f>
        <v>43</v>
      </c>
      <c r="C7" s="19">
        <f>AVERAGEIF(RawData[Shipping carriers],A7,RawData[Shipping times])</f>
        <v>5.3023255813953485</v>
      </c>
      <c r="D7" s="16">
        <f>AVERAGEIF(RawData[Shipping carriers],A7,RawData[Shipping costs])</f>
        <v>5.5092469689287302</v>
      </c>
      <c r="E7" s="16">
        <f>SUMIF(RawData[Shipping carriers],A7,RawData[Shipping costs])</f>
        <v>236.89761966393542</v>
      </c>
      <c r="G7" s="14" t="s">
        <v>47</v>
      </c>
      <c r="H7" s="15">
        <f>COUNTIF(RawData[Transportation modes],G7)</f>
        <v>28</v>
      </c>
      <c r="I7" s="16">
        <f>AVERAGEIF(RawData[Transportation modes],G7,RawData[Costs])</f>
        <v>541.74755566184626</v>
      </c>
      <c r="J7" s="16">
        <f>SUMIF(RawData[Transportation modes],G7,RawData[Costs])</f>
        <v>15168.931558531694</v>
      </c>
      <c r="K7" s="18">
        <f>AVERAGEIF(RawData[Transportation modes],G7,RawData[Defect rates])/100</f>
        <v>2.3188139085148193E-4</v>
      </c>
      <c r="M7" s="12" t="s">
        <v>200</v>
      </c>
      <c r="N7" s="13">
        <f>SUMIF(RawData[Shipping carriers], A6, RawData[Shipping costs])</f>
        <v>155.53783060623559</v>
      </c>
    </row>
    <row r="8" spans="1:14" ht="15.75" customHeight="1">
      <c r="A8" s="20" t="s">
        <v>43</v>
      </c>
      <c r="B8" s="21">
        <f>COUNTIF(RawData[Shipping carriers],A8)</f>
        <v>29</v>
      </c>
      <c r="C8" s="25">
        <f>AVERAGEIF(RawData[Shipping carriers],A8,RawData[Shipping times])</f>
        <v>6.0344827586206895</v>
      </c>
      <c r="D8" s="22">
        <f>AVERAGEIF(RawData[Shipping carriers],A8,RawData[Shipping costs])</f>
        <v>5.5992916183375083</v>
      </c>
      <c r="E8" s="22">
        <f>SUMIF(RawData[Shipping carriers],A8,RawData[Shipping costs])</f>
        <v>162.37945693178773</v>
      </c>
      <c r="G8" s="20" t="s">
        <v>31</v>
      </c>
      <c r="H8" s="21">
        <f>COUNTIF(RawData[Transportation modes],G8)</f>
        <v>29</v>
      </c>
      <c r="I8" s="22">
        <f>AVERAGEIF(RawData[Transportation modes],G8,RawData[Costs])</f>
        <v>553.38598755844725</v>
      </c>
      <c r="J8" s="22">
        <f>SUMIF(RawData[Transportation modes],G8,RawData[Costs])</f>
        <v>16048.193639194969</v>
      </c>
      <c r="K8" s="24">
        <f>AVERAGEIF(RawData[Transportation modes],G8,RawData[Defect rates])/100</f>
        <v>2.6209384707029138E-4</v>
      </c>
      <c r="M8" s="12" t="s">
        <v>201</v>
      </c>
      <c r="N8" s="13">
        <f>AVERAGEIF(RawData[Transportation modes], G6, RawData[Costs])</f>
        <v>561.71259606206854</v>
      </c>
    </row>
    <row r="9" spans="1:14" ht="15.75" customHeight="1">
      <c r="A9" s="26" t="s">
        <v>183</v>
      </c>
      <c r="B9" s="27">
        <f>SUM(B6:B8)</f>
        <v>100</v>
      </c>
      <c r="C9" s="31">
        <f>AVERAGE(C6:C8)</f>
        <v>5.8265551609577271</v>
      </c>
      <c r="D9" s="28">
        <f>AVERAGE(D6:D8)</f>
        <v>5.5544870363058365</v>
      </c>
      <c r="E9" s="28">
        <f>SUM(E6:E8)</f>
        <v>554.8149072019587</v>
      </c>
      <c r="G9" s="14" t="s">
        <v>56</v>
      </c>
      <c r="H9" s="15">
        <f>COUNTIF(RawData[Transportation modes],G9)</f>
        <v>17</v>
      </c>
      <c r="I9" s="16">
        <f>AVERAGEIF(RawData[Transportation modes],G9,RawData[Costs])</f>
        <v>417.81914826315762</v>
      </c>
      <c r="J9" s="16">
        <f>SUMIF(RawData[Transportation modes],G9,RawData[Costs])</f>
        <v>7102.9255204736792</v>
      </c>
      <c r="K9" s="18">
        <f>AVERAGEIF(RawData[Transportation modes],G9,RawData[Defect rates])/100</f>
        <v>2.3152812939185796E-4</v>
      </c>
      <c r="M9" s="12" t="s">
        <v>202</v>
      </c>
      <c r="N9" s="13">
        <f>AVERAGEIF(RawData[Transportation modes], G6, RawData[Defect rates]) / 100</f>
        <v>1.8239235457132962E-4</v>
      </c>
    </row>
    <row r="10" spans="1:14" ht="15.75" customHeight="1">
      <c r="G10" s="26" t="s">
        <v>183</v>
      </c>
      <c r="H10" s="27">
        <f>SUM(H6:H9)</f>
        <v>100</v>
      </c>
      <c r="I10" s="28">
        <f>AVERAGE(I6:I9)</f>
        <v>518.66632188637993</v>
      </c>
      <c r="J10" s="28">
        <f>SUM(J6:J9)</f>
        <v>52924.578215814123</v>
      </c>
      <c r="K10" s="30">
        <f>AVERAGE(K6:K9)</f>
        <v>2.2697393047124023E-4</v>
      </c>
      <c r="M10" s="12" t="s">
        <v>203</v>
      </c>
      <c r="N10" s="13" t="s">
        <v>204</v>
      </c>
    </row>
    <row r="12" spans="1:14" ht="15" customHeight="1">
      <c r="A12" s="55" t="s">
        <v>205</v>
      </c>
      <c r="B12" s="55"/>
      <c r="C12" s="55"/>
      <c r="D12" s="55"/>
      <c r="E12" s="55"/>
    </row>
    <row r="13" spans="1:14" ht="24" customHeight="1">
      <c r="A13" s="2" t="s">
        <v>206</v>
      </c>
      <c r="B13" s="2" t="s">
        <v>191</v>
      </c>
      <c r="C13" s="2" t="s">
        <v>207</v>
      </c>
      <c r="D13" s="2" t="s">
        <v>208</v>
      </c>
      <c r="E13" s="2" t="s">
        <v>209</v>
      </c>
    </row>
    <row r="14" spans="1:14" ht="15" customHeight="1">
      <c r="A14" s="20" t="s">
        <v>48</v>
      </c>
      <c r="B14" s="21">
        <f>COUNTIF(RawData[Routes],A14)</f>
        <v>43</v>
      </c>
      <c r="C14" s="22">
        <f>AVERAGEIF(RawData[Routes],A14,RawData[Costs])</f>
        <v>485.48312777565559</v>
      </c>
      <c r="D14" s="22">
        <f>SUMIF(RawData[Routes],A14,RawData[Revenue generated])</f>
        <v>253198.85238018757</v>
      </c>
      <c r="E14" s="23">
        <f>SUMIF(RawData[Routes],A14,RawData[Costs])/D14</f>
        <v>8.244814025857998E-2</v>
      </c>
    </row>
    <row r="15" spans="1:14" ht="15" customHeight="1">
      <c r="A15" s="14" t="s">
        <v>32</v>
      </c>
      <c r="B15" s="15">
        <f>COUNTIF(RawData[Routes],A15)</f>
        <v>37</v>
      </c>
      <c r="C15" s="16">
        <f>AVERAGEIF(RawData[Routes],A15,RawData[Costs])</f>
        <v>595.65902771895571</v>
      </c>
      <c r="D15" s="16">
        <f>SUMIF(RawData[Routes],A15,RawData[Revenue generated])</f>
        <v>204484.00789291982</v>
      </c>
      <c r="E15" s="17">
        <f>SUMIF(RawData[Routes],A15,RawData[Costs])/D15</f>
        <v>0.10778047756743164</v>
      </c>
    </row>
    <row r="16" spans="1:14" ht="15" customHeight="1">
      <c r="A16" s="20" t="s">
        <v>41</v>
      </c>
      <c r="B16" s="21">
        <f>COUNTIF(RawData[Routes],A16)</f>
        <v>20</v>
      </c>
      <c r="C16" s="22">
        <f>AVERAGEIF(RawData[Routes],A16,RawData[Costs])</f>
        <v>500.47098479297836</v>
      </c>
      <c r="D16" s="22">
        <f>SUMIF(RawData[Routes],A16,RawData[Revenue generated])</f>
        <v>119921.95846490122</v>
      </c>
      <c r="E16" s="23">
        <f>SUMIF(RawData[Routes],A16,RawData[Costs])/D16</f>
        <v>8.3466112661836872E-2</v>
      </c>
    </row>
    <row r="17" spans="1:5" ht="15" customHeight="1">
      <c r="A17" s="26" t="s">
        <v>183</v>
      </c>
      <c r="B17" s="27">
        <f>SUM(B14:B16)</f>
        <v>100</v>
      </c>
      <c r="C17" s="28">
        <f>AVERAGE(C14:C16)</f>
        <v>527.20438009586326</v>
      </c>
      <c r="D17" s="28">
        <f>SUM(D14:D16)</f>
        <v>577604.81873800862</v>
      </c>
      <c r="E17" s="29">
        <f>AVERAGE(E14:E16)</f>
        <v>9.1231576829282846E-2</v>
      </c>
    </row>
  </sheetData>
  <mergeCells count="5">
    <mergeCell ref="A1:L1"/>
    <mergeCell ref="A2:L2"/>
    <mergeCell ref="A4:E4"/>
    <mergeCell ref="G4:K4"/>
    <mergeCell ref="A12:E1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7AE60"/>
  </sheetPr>
  <dimension ref="A1:L10"/>
  <sheetViews>
    <sheetView showGridLines="0" zoomScaleNormal="100" workbookViewId="0">
      <selection activeCell="D5" sqref="D5:D9"/>
    </sheetView>
  </sheetViews>
  <sheetFormatPr defaultColWidth="8.7109375" defaultRowHeight="15"/>
  <cols>
    <col min="1" max="1" width="14" style="1" customWidth="1"/>
    <col min="2" max="2" width="8" style="1" customWidth="1"/>
    <col min="3" max="3" width="16" style="1" customWidth="1"/>
    <col min="4" max="5" width="22" style="1" customWidth="1"/>
    <col min="6" max="6" width="18" style="1" customWidth="1"/>
    <col min="7" max="7" width="16" style="1" customWidth="1"/>
    <col min="8" max="8" width="20" style="1" customWidth="1"/>
    <col min="9" max="9" width="18" style="1" customWidth="1"/>
    <col min="11" max="11" width="16" style="1" customWidth="1"/>
    <col min="12" max="12" width="58" style="1" customWidth="1"/>
  </cols>
  <sheetData>
    <row r="1" spans="1:12" ht="31.5" customHeight="1">
      <c r="A1" s="53" t="s">
        <v>210</v>
      </c>
      <c r="B1" s="53"/>
      <c r="C1" s="53"/>
      <c r="D1" s="53"/>
      <c r="E1" s="53"/>
      <c r="F1" s="53"/>
      <c r="G1" s="53"/>
      <c r="H1" s="53"/>
      <c r="I1" s="53"/>
    </row>
    <row r="2" spans="1:12" ht="15.75" customHeight="1">
      <c r="A2" s="54" t="s">
        <v>211</v>
      </c>
      <c r="B2" s="54"/>
      <c r="C2" s="54"/>
      <c r="D2" s="54"/>
      <c r="E2" s="54"/>
      <c r="F2" s="54"/>
      <c r="G2" s="54"/>
      <c r="H2" s="54"/>
      <c r="I2" s="54"/>
    </row>
    <row r="3" spans="1:12" ht="15" customHeight="1">
      <c r="K3" s="11" t="s">
        <v>156</v>
      </c>
    </row>
    <row r="4" spans="1:12" ht="15.75" customHeight="1">
      <c r="A4" s="2" t="s">
        <v>14</v>
      </c>
      <c r="B4" s="2" t="s">
        <v>177</v>
      </c>
      <c r="C4" s="2" t="s">
        <v>212</v>
      </c>
      <c r="D4" s="2" t="s">
        <v>213</v>
      </c>
      <c r="E4" s="2" t="s">
        <v>164</v>
      </c>
      <c r="F4" s="2" t="s">
        <v>208</v>
      </c>
      <c r="G4" s="2" t="s">
        <v>214</v>
      </c>
      <c r="H4" s="2" t="s">
        <v>215</v>
      </c>
      <c r="I4" s="2" t="s">
        <v>216</v>
      </c>
      <c r="K4" s="12" t="s">
        <v>165</v>
      </c>
      <c r="L4" s="13">
        <f>COUNTIF(RawData[Location], A5)</f>
        <v>18</v>
      </c>
    </row>
    <row r="5" spans="1:12" ht="15.75" customHeight="1">
      <c r="A5" s="14" t="s">
        <v>53</v>
      </c>
      <c r="B5" s="15">
        <f>COUNTIF(RawData[Location],A5)</f>
        <v>18</v>
      </c>
      <c r="C5" s="19">
        <f>AVERAGEIF(RawData[Location],A5,RawData[Stock levels])</f>
        <v>47.555555555555557</v>
      </c>
      <c r="D5" s="17">
        <f>AVERAGEIF(RawData[Location],A5,RawData[Availability])/100</f>
        <v>0.56222222222222218</v>
      </c>
      <c r="E5" s="19">
        <f>AVERAGEIF(RawData[Location],A5,RawData[Lead times])</f>
        <v>15.333333333333334</v>
      </c>
      <c r="F5" s="16">
        <f>SUMIF(RawData[Location],A5,RawData[Revenue generated])</f>
        <v>102601.72388223578</v>
      </c>
      <c r="G5" s="19">
        <f>AVERAGEIF(RawData[Location],A5,RawData[Order quantities])</f>
        <v>42.722222222222221</v>
      </c>
      <c r="H5" s="32">
        <f>IFERROR(C5/G5,"-")</f>
        <v>1.1131339401820546</v>
      </c>
      <c r="I5" s="16">
        <f>IFERROR(F5/B5,"-")</f>
        <v>5700.0957712353211</v>
      </c>
      <c r="K5" s="12" t="s">
        <v>166</v>
      </c>
      <c r="L5" s="13">
        <f>AVERAGEIF(RawData[Location], A5, RawData[Stock levels])</f>
        <v>47.555555555555557</v>
      </c>
    </row>
    <row r="6" spans="1:12" ht="15.75" customHeight="1">
      <c r="A6" s="20" t="s">
        <v>62</v>
      </c>
      <c r="B6" s="21">
        <f>COUNTIF(RawData[Location],A6)</f>
        <v>20</v>
      </c>
      <c r="C6" s="25">
        <f>AVERAGEIF(RawData[Location],A6,RawData[Stock levels])</f>
        <v>39.950000000000003</v>
      </c>
      <c r="D6" s="23">
        <f>AVERAGEIF(RawData[Location],A6,RawData[Availability])/100</f>
        <v>0.54799999999999993</v>
      </c>
      <c r="E6" s="25">
        <f>AVERAGEIF(RawData[Location],A6,RawData[Lead times])</f>
        <v>17.149999999999999</v>
      </c>
      <c r="F6" s="22">
        <f>SUMIF(RawData[Location],A6,RawData[Revenue generated])</f>
        <v>119142.81574806941</v>
      </c>
      <c r="G6" s="25">
        <f>AVERAGEIF(RawData[Location],A6,RawData[Order quantities])</f>
        <v>55.45</v>
      </c>
      <c r="H6" s="33">
        <f>IFERROR(C6/G6,"-")</f>
        <v>0.72046889089269617</v>
      </c>
      <c r="I6" s="22">
        <f>IFERROR(F6/B6,"-")</f>
        <v>5957.1407874034703</v>
      </c>
      <c r="K6" s="12" t="s">
        <v>167</v>
      </c>
      <c r="L6" s="13">
        <f>AVERAGEIF(RawData[Location], A5, RawData[Availability]) / 100</f>
        <v>0.56222222222222218</v>
      </c>
    </row>
    <row r="7" spans="1:12" ht="15.75" customHeight="1">
      <c r="A7" s="14" t="s">
        <v>50</v>
      </c>
      <c r="B7" s="15">
        <f>COUNTIF(RawData[Location],A7)</f>
        <v>15</v>
      </c>
      <c r="C7" s="19">
        <f>AVERAGEIF(RawData[Location],A7,RawData[Stock levels])</f>
        <v>50.06666666666667</v>
      </c>
      <c r="D7" s="17">
        <f>AVERAGEIF(RawData[Location],A7,RawData[Availability])/100</f>
        <v>0.49399999999999999</v>
      </c>
      <c r="E7" s="19">
        <f>AVERAGEIF(RawData[Location],A7,RawData[Lead times])</f>
        <v>17.666666666666668</v>
      </c>
      <c r="F7" s="16">
        <f>SUMIF(RawData[Location],A7,RawData[Revenue generated])</f>
        <v>81027.701224853023</v>
      </c>
      <c r="G7" s="19">
        <f>AVERAGEIF(RawData[Location],A7,RawData[Order quantities])</f>
        <v>48.866666666666667</v>
      </c>
      <c r="H7" s="32">
        <f>IFERROR(C7/G7,"-")</f>
        <v>1.0245566166439291</v>
      </c>
      <c r="I7" s="16">
        <f>IFERROR(F7/B7,"-")</f>
        <v>5401.8467483235345</v>
      </c>
      <c r="K7" s="12" t="s">
        <v>168</v>
      </c>
      <c r="L7" s="13" t="s">
        <v>217</v>
      </c>
    </row>
    <row r="8" spans="1:12" ht="15.75" customHeight="1">
      <c r="A8" s="20" t="s">
        <v>45</v>
      </c>
      <c r="B8" s="21">
        <f>COUNTIF(RawData[Location],A8)</f>
        <v>25</v>
      </c>
      <c r="C8" s="25">
        <f>AVERAGEIF(RawData[Location],A8,RawData[Stock levels])</f>
        <v>57.56</v>
      </c>
      <c r="D8" s="23">
        <f>AVERAGEIF(RawData[Location],A8,RawData[Availability])/100</f>
        <v>0.40840000000000004</v>
      </c>
      <c r="E8" s="25">
        <f>AVERAGEIF(RawData[Location],A8,RawData[Lead times])</f>
        <v>15.92</v>
      </c>
      <c r="F8" s="22">
        <f>SUMIF(RawData[Location],A8,RawData[Revenue generated])</f>
        <v>137077.5510053811</v>
      </c>
      <c r="G8" s="25">
        <f>AVERAGEIF(RawData[Location],A8,RawData[Order quantities])</f>
        <v>49.12</v>
      </c>
      <c r="H8" s="33">
        <f>IFERROR(C8/G8,"-")</f>
        <v>1.1718241042345279</v>
      </c>
      <c r="I8" s="22">
        <f>IFERROR(F8/B8,"-")</f>
        <v>5483.1020402152444</v>
      </c>
      <c r="K8" s="12" t="s">
        <v>171</v>
      </c>
      <c r="L8" s="13">
        <f>SUMIF(RawData[Location], A5, RawData[Revenue generated])</f>
        <v>102601.72388223578</v>
      </c>
    </row>
    <row r="9" spans="1:12" ht="15.75" customHeight="1">
      <c r="A9" s="14" t="s">
        <v>29</v>
      </c>
      <c r="B9" s="15">
        <f>COUNTIF(RawData[Location],A9)</f>
        <v>22</v>
      </c>
      <c r="C9" s="19">
        <f>AVERAGEIF(RawData[Location],A9,RawData[Stock levels])</f>
        <v>42.363636363636367</v>
      </c>
      <c r="D9" s="17">
        <f>AVERAGEIF(RawData[Location],A9,RawData[Availability])/100</f>
        <v>0.44090909090909092</v>
      </c>
      <c r="E9" s="19">
        <f>AVERAGEIF(RawData[Location],A9,RawData[Lead times])</f>
        <v>14.272727272727273</v>
      </c>
      <c r="F9" s="16">
        <f>SUMIF(RawData[Location],A9,RawData[Revenue generated])</f>
        <v>137755.02687746938</v>
      </c>
      <c r="G9" s="19">
        <f>AVERAGEIF(RawData[Location],A9,RawData[Order quantities])</f>
        <v>49.227272727272727</v>
      </c>
      <c r="H9" s="32">
        <f>IFERROR(C9/G9,"-")</f>
        <v>0.86057248384118201</v>
      </c>
      <c r="I9" s="16">
        <f>IFERROR(F9/B9,"-")</f>
        <v>6261.5921307940625</v>
      </c>
      <c r="K9" s="12" t="s">
        <v>218</v>
      </c>
      <c r="L9" s="13" t="s">
        <v>219</v>
      </c>
    </row>
    <row r="10" spans="1:12" ht="15.75" customHeight="1">
      <c r="A10" s="26" t="s">
        <v>183</v>
      </c>
      <c r="B10" s="27">
        <f>SUM(B5:B9)</f>
        <v>100</v>
      </c>
      <c r="C10" s="31">
        <f>AVERAGE(C5:C9)</f>
        <v>47.49917171717172</v>
      </c>
      <c r="D10" s="29">
        <f>AVERAGE(D5:D9)</f>
        <v>0.49070626262626266</v>
      </c>
      <c r="E10" s="31">
        <f>AVERAGE(E5:E9)</f>
        <v>16.068545454545454</v>
      </c>
      <c r="F10" s="28">
        <f>SUM(F5:F9)</f>
        <v>577604.81873800862</v>
      </c>
      <c r="G10" s="31">
        <f>AVERAGE(G5:G9)</f>
        <v>49.077232323232323</v>
      </c>
      <c r="H10" s="34">
        <f>IFERROR(AVERAGE(C5:C9)/AVERAGE(G5:G9),"-")</f>
        <v>0.96784536267923205</v>
      </c>
      <c r="I10" s="28">
        <f>IFERROR(F10/B10,"-")</f>
        <v>5776.0481873800863</v>
      </c>
      <c r="K10" s="12" t="s">
        <v>220</v>
      </c>
      <c r="L10" s="13" t="s">
        <v>221</v>
      </c>
    </row>
  </sheetData>
  <mergeCells count="2">
    <mergeCell ref="A1:I1"/>
    <mergeCell ref="A2:I2"/>
  </mergeCells>
  <conditionalFormatting sqref="D5:D9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:C9">
    <cfRule type="dataBar" priority="5">
      <dataBar>
        <cfvo type="min"/>
        <cfvo type="max"/>
        <color rgb="FF2E75B6"/>
      </dataBar>
      <extLst>
        <ext xmlns:x14="http://schemas.microsoft.com/office/spreadsheetml/2009/9/main" uri="{B025F937-C7B1-47D3-B67F-A62EFF666E3E}">
          <x14:id>{87744762-A121-40EC-93E1-DFD437A0EBF5}</x14:id>
        </ext>
      </extLst>
    </cfRule>
  </conditionalFormatting>
  <conditionalFormatting sqref="F5:F9">
    <cfRule type="dataBar" priority="6">
      <dataBar>
        <cfvo type="min"/>
        <cfvo type="max"/>
        <color rgb="FF1ABC9C"/>
      </dataBar>
      <extLst>
        <ext xmlns:x14="http://schemas.microsoft.com/office/spreadsheetml/2009/9/main" uri="{B025F937-C7B1-47D3-B67F-A62EFF666E3E}">
          <x14:id>{7A6E2250-D034-4D77-88CF-6073F91163B7}</x14:id>
        </ext>
      </extLst>
    </cfRule>
  </conditionalFormatting>
  <conditionalFormatting sqref="D5:D9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:D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11811023622047" footer="0.511811023622047"/>
  <pageSetup paperSize="9" orientation="portrait" horizontalDpi="300" verticalDpi="30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7744762-A121-40EC-93E1-DFD437A0EBF5}">
            <x14:dataBar axisPosition="none">
              <x14:cfvo type="min"/>
              <x14:cfvo type="max"/>
              <x14:negativeFillColor rgb="FF2E75B6"/>
            </x14:dataBar>
          </x14:cfRule>
          <xm:sqref>C5:C9</xm:sqref>
        </x14:conditionalFormatting>
        <x14:conditionalFormatting xmlns:xm="http://schemas.microsoft.com/office/excel/2006/main">
          <x14:cfRule type="dataBar" id="{7A6E2250-D034-4D77-88CF-6073F91163B7}">
            <x14:dataBar axisPosition="none">
              <x14:cfvo type="min"/>
              <x14:cfvo type="max"/>
              <x14:negativeFillColor rgb="FF1ABC9C"/>
            </x14:dataBar>
          </x14:cfRule>
          <xm:sqref>F5:F9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39C12"/>
  </sheetPr>
  <dimension ref="A1:L18"/>
  <sheetViews>
    <sheetView showGridLines="0" zoomScaleNormal="100" workbookViewId="0"/>
  </sheetViews>
  <sheetFormatPr defaultColWidth="8.7109375" defaultRowHeight="15"/>
  <cols>
    <col min="1" max="1" width="18" style="1" customWidth="1"/>
    <col min="2" max="2" width="20" style="1" customWidth="1"/>
    <col min="3" max="4" width="8" style="1" customWidth="1"/>
    <col min="5" max="5" width="10" style="1" customWidth="1"/>
    <col min="6" max="6" width="12" style="1" customWidth="1"/>
    <col min="7" max="8" width="14" style="1" customWidth="1"/>
    <col min="9" max="9" width="16" style="1" customWidth="1"/>
    <col min="11" max="11" width="16" style="1" customWidth="1"/>
    <col min="12" max="12" width="64" style="1" customWidth="1"/>
  </cols>
  <sheetData>
    <row r="1" spans="1:12" ht="31.5" customHeight="1">
      <c r="A1" s="53" t="s">
        <v>222</v>
      </c>
      <c r="B1" s="53"/>
      <c r="C1" s="53"/>
      <c r="D1" s="53"/>
      <c r="E1" s="53"/>
      <c r="F1" s="53"/>
      <c r="G1" s="53"/>
      <c r="H1" s="53"/>
      <c r="I1" s="53"/>
      <c r="J1" s="53"/>
    </row>
    <row r="2" spans="1:12" ht="15.75" customHeight="1">
      <c r="A2" s="54" t="s">
        <v>223</v>
      </c>
      <c r="B2" s="54"/>
      <c r="C2" s="54"/>
      <c r="D2" s="54"/>
      <c r="E2" s="54"/>
      <c r="F2" s="54"/>
      <c r="G2" s="54"/>
      <c r="H2" s="54"/>
      <c r="I2" s="54"/>
      <c r="J2" s="54"/>
    </row>
    <row r="3" spans="1:12" ht="15" customHeight="1">
      <c r="K3" s="11" t="s">
        <v>156</v>
      </c>
    </row>
    <row r="4" spans="1:12" ht="15.75" customHeight="1">
      <c r="A4" s="55" t="s">
        <v>224</v>
      </c>
      <c r="B4" s="55"/>
      <c r="C4" s="55"/>
      <c r="D4" s="55"/>
      <c r="E4" s="55"/>
      <c r="F4" s="55"/>
      <c r="G4" s="55"/>
      <c r="H4" s="55"/>
      <c r="K4" s="12" t="s">
        <v>225</v>
      </c>
      <c r="L4" s="13">
        <f>AVERAGEIF(RawData[Product type], A6, RawData[Defect rates]) / 100</f>
        <v>1.919286978281318E-4</v>
      </c>
    </row>
    <row r="5" spans="1:12" ht="15.75" customHeight="1">
      <c r="A5" s="2" t="s">
        <v>157</v>
      </c>
      <c r="B5" s="2" t="s">
        <v>163</v>
      </c>
      <c r="C5" s="2" t="s">
        <v>64</v>
      </c>
      <c r="D5" s="2" t="s">
        <v>46</v>
      </c>
      <c r="E5" s="2" t="s">
        <v>30</v>
      </c>
      <c r="F5" s="2" t="s">
        <v>226</v>
      </c>
      <c r="G5" s="2" t="s">
        <v>227</v>
      </c>
      <c r="H5" s="2" t="s">
        <v>228</v>
      </c>
      <c r="I5" s="2" t="s">
        <v>229</v>
      </c>
      <c r="K5" s="12" t="s">
        <v>230</v>
      </c>
      <c r="L5" s="13">
        <f>COUNTIFS(RawData[Product type], A6, RawData[Inspection results], "Pass")</f>
        <v>6</v>
      </c>
    </row>
    <row r="6" spans="1:12" ht="15.75" customHeight="1">
      <c r="A6" s="20" t="s">
        <v>57</v>
      </c>
      <c r="B6" s="24">
        <f>AVERAGEIF(RawData[Product type],A6,RawData[Defect rates])/100</f>
        <v>1.919286978281318E-4</v>
      </c>
      <c r="C6" s="21">
        <f>COUNTIFS(RawData[Product type],A6,RawData[Inspection results],"Pass")</f>
        <v>6</v>
      </c>
      <c r="D6" s="21">
        <f>COUNTIFS(RawData[Product type],A6,RawData[Inspection results],"Fail")</f>
        <v>10</v>
      </c>
      <c r="E6" s="21">
        <f>COUNTIFS(RawData[Product type],A6,RawData[Inspection results],"Pending")</f>
        <v>10</v>
      </c>
      <c r="F6" s="21">
        <f>C6+D6+E6</f>
        <v>26</v>
      </c>
      <c r="G6" s="23">
        <f>IFERROR(C6/F6,0)</f>
        <v>0.23076923076923078</v>
      </c>
      <c r="H6" s="23">
        <f>IFERROR(D6/F6,0)</f>
        <v>0.38461538461538464</v>
      </c>
      <c r="I6" s="23">
        <f>IFERROR(E6/F6,0)</f>
        <v>0.38461538461538464</v>
      </c>
      <c r="K6" s="12" t="s">
        <v>231</v>
      </c>
      <c r="L6" s="13">
        <f>COUNTIFS(RawData[Product type], A6, RawData[Inspection results], "Fail")</f>
        <v>10</v>
      </c>
    </row>
    <row r="7" spans="1:12" ht="15.75" customHeight="1">
      <c r="A7" s="14" t="s">
        <v>24</v>
      </c>
      <c r="B7" s="18">
        <f>AVERAGEIF(RawData[Product type],A7,RawData[Defect rates])/100</f>
        <v>2.4831501929246247E-4</v>
      </c>
      <c r="C7" s="15">
        <f>COUNTIFS(RawData[Product type],A7,RawData[Inspection results],"Pass")</f>
        <v>6</v>
      </c>
      <c r="D7" s="15">
        <f>COUNTIFS(RawData[Product type],A7,RawData[Inspection results],"Fail")</f>
        <v>13</v>
      </c>
      <c r="E7" s="15">
        <f>COUNTIFS(RawData[Product type],A7,RawData[Inspection results],"Pending")</f>
        <v>15</v>
      </c>
      <c r="F7" s="15">
        <f>C7+D7+E7</f>
        <v>34</v>
      </c>
      <c r="G7" s="17">
        <f>IFERROR(C7/F7,0)</f>
        <v>0.17647058823529413</v>
      </c>
      <c r="H7" s="17">
        <f>IFERROR(D7/F7,0)</f>
        <v>0.38235294117647056</v>
      </c>
      <c r="I7" s="17">
        <f>IFERROR(E7/F7,0)</f>
        <v>0.44117647058823528</v>
      </c>
      <c r="K7" s="12" t="s">
        <v>232</v>
      </c>
      <c r="L7" s="13">
        <f>COUNTIFS(RawData[Product type], A6, RawData[Inspection results], "Pending")</f>
        <v>10</v>
      </c>
    </row>
    <row r="8" spans="1:12" ht="15.75" customHeight="1">
      <c r="A8" s="20" t="s">
        <v>33</v>
      </c>
      <c r="B8" s="24">
        <f>AVERAGEIF(RawData[Product type],A8,RawData[Defect rates])/100</f>
        <v>2.3346807819802368E-4</v>
      </c>
      <c r="C8" s="21">
        <f>COUNTIFS(RawData[Product type],A8,RawData[Inspection results],"Pass")</f>
        <v>11</v>
      </c>
      <c r="D8" s="21">
        <f>COUNTIFS(RawData[Product type],A8,RawData[Inspection results],"Fail")</f>
        <v>13</v>
      </c>
      <c r="E8" s="21">
        <f>COUNTIFS(RawData[Product type],A8,RawData[Inspection results],"Pending")</f>
        <v>16</v>
      </c>
      <c r="F8" s="21">
        <f>C8+D8+E8</f>
        <v>40</v>
      </c>
      <c r="G8" s="23">
        <f>IFERROR(C8/F8,0)</f>
        <v>0.27500000000000002</v>
      </c>
      <c r="H8" s="23">
        <f>IFERROR(D8/F8,0)</f>
        <v>0.32500000000000001</v>
      </c>
      <c r="I8" s="23">
        <f>IFERROR(E8/F8,0)</f>
        <v>0.4</v>
      </c>
      <c r="K8" s="12" t="s">
        <v>233</v>
      </c>
      <c r="L8" s="13">
        <f>C6 + D6 + E6</f>
        <v>26</v>
      </c>
    </row>
    <row r="9" spans="1:12" ht="15.75" customHeight="1">
      <c r="A9" s="26" t="s">
        <v>183</v>
      </c>
      <c r="B9" s="30">
        <f>AVERAGE(B6:B8)</f>
        <v>2.2457059843953932E-4</v>
      </c>
      <c r="C9" s="27">
        <f>SUM(C6:C8)</f>
        <v>23</v>
      </c>
      <c r="D9" s="27">
        <f>SUM(D6:D8)</f>
        <v>36</v>
      </c>
      <c r="E9" s="27">
        <f>SUM(E6:E8)</f>
        <v>41</v>
      </c>
      <c r="F9" s="27">
        <f>SUM(F6:F8)</f>
        <v>100</v>
      </c>
      <c r="G9" s="29">
        <f>IFERROR(C9/F9,0)</f>
        <v>0.23</v>
      </c>
      <c r="H9" s="29">
        <f>IFERROR(D9/F9,0)</f>
        <v>0.36</v>
      </c>
      <c r="I9" s="29">
        <f>IFERROR(E9/F9,0)</f>
        <v>0.41</v>
      </c>
      <c r="K9" s="12" t="s">
        <v>234</v>
      </c>
      <c r="L9" s="13">
        <f>IFERROR(C6 / F6, 0)</f>
        <v>0.23076923076923078</v>
      </c>
    </row>
    <row r="10" spans="1:12" ht="15.75" customHeight="1">
      <c r="K10" s="12" t="s">
        <v>235</v>
      </c>
      <c r="L10" s="13">
        <f>IFERROR(D6 / F6, 0)</f>
        <v>0.38461538461538464</v>
      </c>
    </row>
    <row r="11" spans="1:12" ht="15.75" customHeight="1">
      <c r="A11" s="55" t="s">
        <v>236</v>
      </c>
      <c r="B11" s="55"/>
      <c r="C11" s="55"/>
      <c r="D11" s="55"/>
      <c r="E11" s="55"/>
      <c r="F11" s="55"/>
      <c r="G11" s="55"/>
      <c r="H11" s="55"/>
      <c r="K11" s="12" t="s">
        <v>237</v>
      </c>
      <c r="L11" s="13" t="s">
        <v>238</v>
      </c>
    </row>
    <row r="12" spans="1:12" ht="24" customHeight="1">
      <c r="A12" s="2" t="s">
        <v>176</v>
      </c>
      <c r="B12" s="2" t="s">
        <v>163</v>
      </c>
      <c r="C12" s="2" t="s">
        <v>64</v>
      </c>
      <c r="D12" s="2" t="s">
        <v>46</v>
      </c>
      <c r="E12" s="2" t="s">
        <v>30</v>
      </c>
      <c r="F12" s="2" t="s">
        <v>226</v>
      </c>
      <c r="G12" s="2" t="s">
        <v>227</v>
      </c>
      <c r="H12" s="2" t="s">
        <v>228</v>
      </c>
      <c r="I12" s="2" t="s">
        <v>229</v>
      </c>
    </row>
    <row r="13" spans="1:12" ht="15" customHeight="1">
      <c r="A13" s="14" t="s">
        <v>39</v>
      </c>
      <c r="B13" s="18">
        <f>AVERAGEIF(RawData[Supplier name],A13,RawData[Defect rates])/100</f>
        <v>1.8036297116882534E-4</v>
      </c>
      <c r="C13" s="15">
        <f>COUNTIFS(RawData[Supplier name],A13,RawData[Inspection results],"Pass")</f>
        <v>13</v>
      </c>
      <c r="D13" s="15">
        <f>COUNTIFS(RawData[Supplier name],A13,RawData[Inspection results],"Fail")</f>
        <v>6</v>
      </c>
      <c r="E13" s="15">
        <f>COUNTIFS(RawData[Supplier name],A13,RawData[Inspection results],"Pending")</f>
        <v>8</v>
      </c>
      <c r="F13" s="15">
        <f>C13+D13+E13</f>
        <v>27</v>
      </c>
      <c r="G13" s="17">
        <f>IFERROR(C13/F13,0)</f>
        <v>0.48148148148148145</v>
      </c>
      <c r="H13" s="17">
        <f>IFERROR(D13/F13,0)</f>
        <v>0.22222222222222221</v>
      </c>
      <c r="I13" s="17">
        <f>IFERROR(E13/F13,0)</f>
        <v>0.29629629629629628</v>
      </c>
    </row>
    <row r="14" spans="1:12" ht="15" customHeight="1">
      <c r="A14" s="20" t="s">
        <v>61</v>
      </c>
      <c r="B14" s="24">
        <f>AVERAGEIF(RawData[Supplier name],A14,RawData[Defect rates])/100</f>
        <v>2.3627501450718821E-4</v>
      </c>
      <c r="C14" s="21">
        <f>COUNTIFS(RawData[Supplier name],A14,RawData[Inspection results],"Pass")</f>
        <v>5</v>
      </c>
      <c r="D14" s="21">
        <f>COUNTIFS(RawData[Supplier name],A14,RawData[Inspection results],"Fail")</f>
        <v>8</v>
      </c>
      <c r="E14" s="21">
        <f>COUNTIFS(RawData[Supplier name],A14,RawData[Inspection results],"Pending")</f>
        <v>9</v>
      </c>
      <c r="F14" s="21">
        <f>C14+D14+E14</f>
        <v>22</v>
      </c>
      <c r="G14" s="23">
        <f>IFERROR(C14/F14,0)</f>
        <v>0.22727272727272727</v>
      </c>
      <c r="H14" s="23">
        <f>IFERROR(D14/F14,0)</f>
        <v>0.36363636363636365</v>
      </c>
      <c r="I14" s="23">
        <f>IFERROR(E14/F14,0)</f>
        <v>0.40909090909090912</v>
      </c>
    </row>
    <row r="15" spans="1:12" ht="15" customHeight="1">
      <c r="A15" s="14" t="s">
        <v>28</v>
      </c>
      <c r="B15" s="18">
        <f>AVERAGEIF(RawData[Supplier name],A15,RawData[Defect rates])/100</f>
        <v>2.4657860307644703E-4</v>
      </c>
      <c r="C15" s="15">
        <f>COUNTIFS(RawData[Supplier name],A15,RawData[Inspection results],"Pass")</f>
        <v>2</v>
      </c>
      <c r="D15" s="15">
        <f>COUNTIFS(RawData[Supplier name],A15,RawData[Inspection results],"Fail")</f>
        <v>3</v>
      </c>
      <c r="E15" s="15">
        <f>COUNTIFS(RawData[Supplier name],A15,RawData[Inspection results],"Pending")</f>
        <v>10</v>
      </c>
      <c r="F15" s="15">
        <f>C15+D15+E15</f>
        <v>15</v>
      </c>
      <c r="G15" s="17">
        <f>IFERROR(C15/F15,0)</f>
        <v>0.13333333333333333</v>
      </c>
      <c r="H15" s="17">
        <f>IFERROR(D15/F15,0)</f>
        <v>0.2</v>
      </c>
      <c r="I15" s="17">
        <f>IFERROR(E15/F15,0)</f>
        <v>0.66666666666666663</v>
      </c>
    </row>
    <row r="16" spans="1:12" ht="15" customHeight="1">
      <c r="A16" s="20" t="s">
        <v>52</v>
      </c>
      <c r="B16" s="24">
        <f>AVERAGEIF(RawData[Supplier name],A16,RawData[Defect rates])/100</f>
        <v>2.3373974005913402E-4</v>
      </c>
      <c r="C16" s="21">
        <f>COUNTIFS(RawData[Supplier name],A16,RawData[Inspection results],"Pass")</f>
        <v>0</v>
      </c>
      <c r="D16" s="21">
        <f>COUNTIFS(RawData[Supplier name],A16,RawData[Inspection results],"Fail")</f>
        <v>12</v>
      </c>
      <c r="E16" s="21">
        <f>COUNTIFS(RawData[Supplier name],A16,RawData[Inspection results],"Pending")</f>
        <v>6</v>
      </c>
      <c r="F16" s="21">
        <f>C16+D16+E16</f>
        <v>18</v>
      </c>
      <c r="G16" s="23">
        <f>IFERROR(C16/F16,0)</f>
        <v>0</v>
      </c>
      <c r="H16" s="23">
        <f>IFERROR(D16/F16,0)</f>
        <v>0.66666666666666663</v>
      </c>
      <c r="I16" s="23">
        <f>IFERROR(E16/F16,0)</f>
        <v>0.33333333333333331</v>
      </c>
    </row>
    <row r="17" spans="1:9" ht="15" customHeight="1">
      <c r="A17" s="14" t="s">
        <v>44</v>
      </c>
      <c r="B17" s="18">
        <f>AVERAGEIF(RawData[Supplier name],A17,RawData[Defect rates])/100</f>
        <v>2.6654083441492003E-4</v>
      </c>
      <c r="C17" s="15">
        <f>COUNTIFS(RawData[Supplier name],A17,RawData[Inspection results],"Pass")</f>
        <v>3</v>
      </c>
      <c r="D17" s="15">
        <f>COUNTIFS(RawData[Supplier name],A17,RawData[Inspection results],"Fail")</f>
        <v>7</v>
      </c>
      <c r="E17" s="15">
        <f>COUNTIFS(RawData[Supplier name],A17,RawData[Inspection results],"Pending")</f>
        <v>8</v>
      </c>
      <c r="F17" s="15">
        <f>C17+D17+E17</f>
        <v>18</v>
      </c>
      <c r="G17" s="17">
        <f>IFERROR(C17/F17,0)</f>
        <v>0.16666666666666666</v>
      </c>
      <c r="H17" s="17">
        <f>IFERROR(D17/F17,0)</f>
        <v>0.3888888888888889</v>
      </c>
      <c r="I17" s="17">
        <f>IFERROR(E17/F17,0)</f>
        <v>0.44444444444444442</v>
      </c>
    </row>
    <row r="18" spans="1:9" ht="15" customHeight="1">
      <c r="A18" s="26" t="s">
        <v>183</v>
      </c>
      <c r="B18" s="30">
        <f>AVERAGE(B13:B17)</f>
        <v>2.3269943264530294E-4</v>
      </c>
      <c r="C18" s="27">
        <f>SUM(C13:C17)</f>
        <v>23</v>
      </c>
      <c r="D18" s="27">
        <f>SUM(D13:D17)</f>
        <v>36</v>
      </c>
      <c r="E18" s="27">
        <f>SUM(E13:E17)</f>
        <v>41</v>
      </c>
      <c r="F18" s="27">
        <f>SUM(F13:F17)</f>
        <v>100</v>
      </c>
      <c r="G18" s="29">
        <f>IFERROR(C18/F18,0)</f>
        <v>0.23</v>
      </c>
      <c r="H18" s="29">
        <f>IFERROR(D18/F18,0)</f>
        <v>0.36</v>
      </c>
      <c r="I18" s="29">
        <f>IFERROR(E18/F18,0)</f>
        <v>0.41</v>
      </c>
    </row>
  </sheetData>
  <mergeCells count="4">
    <mergeCell ref="A1:J1"/>
    <mergeCell ref="A2:J2"/>
    <mergeCell ref="A4:H4"/>
    <mergeCell ref="A11:H11"/>
  </mergeCells>
  <conditionalFormatting sqref="B6:B8">
    <cfRule type="colorScale" priority="2">
      <colorScale>
        <cfvo type="min"/>
        <cfvo type="max"/>
        <color rgb="FF63BE7B"/>
        <color rgb="FFF8696B"/>
      </colorScale>
    </cfRule>
  </conditionalFormatting>
  <conditionalFormatting sqref="B13:B17">
    <cfRule type="colorScale" priority="3">
      <colorScale>
        <cfvo type="min"/>
        <cfvo type="max"/>
        <color rgb="FF63BE7B"/>
        <color rgb="FFF8696B"/>
      </colorScale>
    </cfRule>
  </conditionalFormatting>
  <conditionalFormatting sqref="G6:G8">
    <cfRule type="colorScale" priority="4">
      <colorScale>
        <cfvo type="min"/>
        <cfvo type="max"/>
        <color rgb="FFF8696B"/>
        <color rgb="FF63BE7B"/>
      </colorScale>
    </cfRule>
  </conditionalFormatting>
  <conditionalFormatting sqref="G13:G17">
    <cfRule type="colorScale" priority="5">
      <colorScale>
        <cfvo type="min"/>
        <cfvo type="max"/>
        <color rgb="FFF8696B"/>
        <color rgb="FF63BE7B"/>
      </colorScale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3864"/>
  </sheetPr>
  <dimension ref="A1:L30"/>
  <sheetViews>
    <sheetView showGridLines="0" zoomScaleNormal="100" workbookViewId="0">
      <selection activeCell="H13" sqref="H13"/>
    </sheetView>
  </sheetViews>
  <sheetFormatPr defaultColWidth="8.7109375" defaultRowHeight="15"/>
  <cols>
    <col min="1" max="1" width="28" style="1" customWidth="1"/>
    <col min="2" max="2" width="14" style="1" customWidth="1"/>
    <col min="3" max="3" width="42" style="1" customWidth="1"/>
    <col min="4" max="4" width="16" style="1" customWidth="1"/>
    <col min="5" max="5" width="12" style="1" customWidth="1"/>
    <col min="6" max="6" width="14" style="1" customWidth="1"/>
    <col min="7" max="7" width="30" style="1" customWidth="1"/>
    <col min="8" max="12" width="13" style="1" customWidth="1"/>
  </cols>
  <sheetData>
    <row r="1" spans="1:12" ht="42" customHeight="1">
      <c r="A1" s="56" t="s">
        <v>239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</row>
    <row r="2" spans="1:12" ht="19.5" customHeight="1">
      <c r="A2" s="57" t="s">
        <v>240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</row>
    <row r="3" spans="1:12" ht="7.5" customHeight="1"/>
    <row r="4" spans="1:12" ht="21.75" customHeight="1">
      <c r="A4" s="58" t="s">
        <v>241</v>
      </c>
      <c r="B4" s="58"/>
      <c r="C4" s="58"/>
      <c r="D4" s="59" t="s">
        <v>242</v>
      </c>
      <c r="E4" s="59"/>
      <c r="F4" s="59"/>
      <c r="G4" s="60" t="s">
        <v>243</v>
      </c>
      <c r="H4" s="60"/>
      <c r="I4" s="60"/>
      <c r="J4" s="61" t="s">
        <v>244</v>
      </c>
      <c r="K4" s="61"/>
      <c r="L4" s="61"/>
    </row>
    <row r="5" spans="1:12" ht="33.75" customHeight="1">
      <c r="A5" s="62">
        <f>'Revenue by Product'!D8</f>
        <v>577604.81873800862</v>
      </c>
      <c r="B5" s="62"/>
      <c r="C5" s="62"/>
      <c r="D5" s="63">
        <f>'Revenue by Product'!C8</f>
        <v>46099</v>
      </c>
      <c r="E5" s="63"/>
      <c r="F5" s="63"/>
      <c r="G5" s="64">
        <f>'Quality &amp; Defects'!B9</f>
        <v>2.2457059843953932E-4</v>
      </c>
      <c r="H5" s="64"/>
      <c r="I5" s="64"/>
      <c r="J5" s="65">
        <f>'Quality &amp; Defects'!G9</f>
        <v>0.23</v>
      </c>
      <c r="K5" s="65"/>
      <c r="L5" s="65"/>
    </row>
    <row r="6" spans="1:12" ht="18" customHeight="1">
      <c r="A6" s="66" t="s">
        <v>245</v>
      </c>
      <c r="B6" s="66"/>
      <c r="C6" s="66"/>
      <c r="D6" s="66" t="s">
        <v>245</v>
      </c>
      <c r="E6" s="66"/>
      <c r="F6" s="66"/>
      <c r="G6" s="66" t="s">
        <v>245</v>
      </c>
      <c r="H6" s="66"/>
      <c r="I6" s="66"/>
      <c r="J6" s="66" t="s">
        <v>245</v>
      </c>
      <c r="K6" s="66"/>
      <c r="L6" s="66"/>
    </row>
    <row r="7" spans="1:12" ht="7.5" customHeight="1"/>
    <row r="8" spans="1:12" ht="24" customHeight="1">
      <c r="A8" s="69" t="s">
        <v>246</v>
      </c>
      <c r="B8" s="69"/>
      <c r="C8" s="69"/>
      <c r="D8" s="69"/>
      <c r="E8" s="69"/>
      <c r="F8" s="69"/>
      <c r="G8" s="69"/>
      <c r="H8" s="69"/>
      <c r="I8" s="69"/>
      <c r="J8" s="69"/>
      <c r="K8" s="69"/>
      <c r="L8" s="69"/>
    </row>
    <row r="9" spans="1:12" ht="15" customHeight="1">
      <c r="A9" s="2" t="s">
        <v>247</v>
      </c>
      <c r="B9" s="2" t="s">
        <v>248</v>
      </c>
      <c r="C9" s="2" t="s">
        <v>249</v>
      </c>
      <c r="D9" s="2" t="s">
        <v>250</v>
      </c>
      <c r="E9" s="2" t="s">
        <v>251</v>
      </c>
      <c r="F9" s="2" t="s">
        <v>252</v>
      </c>
      <c r="G9" s="2" t="s">
        <v>253</v>
      </c>
    </row>
    <row r="10" spans="1:12" ht="19.5" customHeight="1">
      <c r="A10" s="20" t="s">
        <v>208</v>
      </c>
      <c r="B10" s="20" t="s">
        <v>254</v>
      </c>
      <c r="C10" s="35">
        <f>'Revenue by Product'!D8</f>
        <v>577604.81873800862</v>
      </c>
      <c r="D10" s="22">
        <f>'Revenue by Product'!D8</f>
        <v>577604.81873800862</v>
      </c>
      <c r="E10" s="36" t="s">
        <v>255</v>
      </c>
      <c r="F10" s="37" t="s">
        <v>256</v>
      </c>
      <c r="G10" s="38"/>
    </row>
    <row r="11" spans="1:12" ht="19.5" customHeight="1">
      <c r="A11" s="14" t="s">
        <v>216</v>
      </c>
      <c r="B11" s="14" t="s">
        <v>254</v>
      </c>
      <c r="C11" s="39" t="s">
        <v>257</v>
      </c>
      <c r="D11" s="16">
        <f>'Revenue by Product'!D8/'Revenue by Product'!B8</f>
        <v>5776.0481873800863</v>
      </c>
      <c r="E11" s="40" t="s">
        <v>258</v>
      </c>
      <c r="F11" s="37" t="s">
        <v>256</v>
      </c>
      <c r="G11" s="41"/>
    </row>
    <row r="12" spans="1:12" ht="19.5" customHeight="1">
      <c r="A12" s="20" t="s">
        <v>159</v>
      </c>
      <c r="B12" s="20" t="s">
        <v>259</v>
      </c>
      <c r="C12" s="42">
        <f>'Revenue by Product'!C8</f>
        <v>46099</v>
      </c>
      <c r="D12" s="21">
        <f>'Revenue by Product'!C8</f>
        <v>46099</v>
      </c>
      <c r="E12" s="36" t="s">
        <v>260</v>
      </c>
      <c r="F12" s="43" t="s">
        <v>261</v>
      </c>
      <c r="G12" s="38"/>
    </row>
    <row r="13" spans="1:12" ht="19.5" customHeight="1">
      <c r="A13" s="14" t="s">
        <v>262</v>
      </c>
      <c r="B13" s="14" t="s">
        <v>259</v>
      </c>
      <c r="C13" s="39">
        <f>AVERAGE(RawData[Price])</f>
        <v>49.462461344643685</v>
      </c>
      <c r="D13" s="16">
        <f>AVERAGE(RawData[Price])</f>
        <v>49.462461344643685</v>
      </c>
      <c r="E13" s="40" t="s">
        <v>263</v>
      </c>
      <c r="F13" s="43" t="s">
        <v>261</v>
      </c>
      <c r="G13" s="41" t="s">
        <v>264</v>
      </c>
    </row>
    <row r="14" spans="1:12" ht="19.5" customHeight="1">
      <c r="A14" s="20" t="s">
        <v>212</v>
      </c>
      <c r="B14" s="20" t="s">
        <v>265</v>
      </c>
      <c r="C14" s="44">
        <f>AVERAGE(RawData[Stock levels])</f>
        <v>47.77</v>
      </c>
      <c r="D14" s="25">
        <f>AVERAGE(RawData[Stock levels])</f>
        <v>47.77</v>
      </c>
      <c r="E14" s="36" t="s">
        <v>266</v>
      </c>
      <c r="F14" s="45" t="s">
        <v>267</v>
      </c>
      <c r="G14" s="38" t="s">
        <v>268</v>
      </c>
    </row>
    <row r="15" spans="1:12" ht="19.5" customHeight="1">
      <c r="A15" s="14" t="s">
        <v>213</v>
      </c>
      <c r="B15" s="14" t="s">
        <v>265</v>
      </c>
      <c r="C15" s="39">
        <f>AVERAGE(RawData[Availability])/100</f>
        <v>0.48399999999999999</v>
      </c>
      <c r="D15" s="17">
        <f>AVERAGE(RawData[Availability])/100</f>
        <v>0.48399999999999999</v>
      </c>
      <c r="E15" s="40" t="s">
        <v>269</v>
      </c>
      <c r="F15" s="45" t="s">
        <v>267</v>
      </c>
      <c r="G15" s="41" t="s">
        <v>270</v>
      </c>
    </row>
    <row r="16" spans="1:12" ht="19.5" customHeight="1">
      <c r="A16" s="20" t="s">
        <v>271</v>
      </c>
      <c r="B16" s="20" t="s">
        <v>272</v>
      </c>
      <c r="C16" s="44">
        <f>AVERAGE(RawData[Order quantities])</f>
        <v>49.22</v>
      </c>
      <c r="D16" s="25">
        <f>AVERAGE(RawData[Order quantities])</f>
        <v>49.22</v>
      </c>
      <c r="E16" s="36" t="s">
        <v>273</v>
      </c>
      <c r="F16" s="43" t="s">
        <v>261</v>
      </c>
      <c r="G16" s="38"/>
    </row>
    <row r="17" spans="1:12" ht="19.5" customHeight="1">
      <c r="A17" s="14" t="s">
        <v>164</v>
      </c>
      <c r="B17" s="14" t="s">
        <v>272</v>
      </c>
      <c r="C17" s="39">
        <f>AVERAGE(RawData[Lead times])</f>
        <v>15.96</v>
      </c>
      <c r="D17" s="19">
        <f>AVERAGE(RawData[Lead times])</f>
        <v>15.96</v>
      </c>
      <c r="E17" s="40" t="s">
        <v>274</v>
      </c>
      <c r="F17" s="45" t="s">
        <v>275</v>
      </c>
      <c r="G17" s="41" t="s">
        <v>276</v>
      </c>
    </row>
    <row r="18" spans="1:12" ht="19.5" customHeight="1">
      <c r="A18" s="20" t="s">
        <v>277</v>
      </c>
      <c r="B18" s="20" t="s">
        <v>278</v>
      </c>
      <c r="C18" s="46">
        <f>'Logistics &amp; Shipping'!C9</f>
        <v>5.8265551609577271</v>
      </c>
      <c r="D18" s="25">
        <f>'Logistics &amp; Shipping'!C9</f>
        <v>5.8265551609577271</v>
      </c>
      <c r="E18" s="36" t="s">
        <v>279</v>
      </c>
      <c r="F18" s="37" t="s">
        <v>256</v>
      </c>
      <c r="G18" s="38"/>
    </row>
    <row r="19" spans="1:12" ht="19.5" customHeight="1">
      <c r="A19" s="14" t="s">
        <v>280</v>
      </c>
      <c r="B19" s="14" t="s">
        <v>278</v>
      </c>
      <c r="C19" s="47">
        <f>'Logistics &amp; Shipping'!D9</f>
        <v>5.5544870363058365</v>
      </c>
      <c r="D19" s="16">
        <f>'Logistics &amp; Shipping'!D9</f>
        <v>5.5544870363058365</v>
      </c>
      <c r="E19" s="40" t="s">
        <v>281</v>
      </c>
      <c r="F19" s="37" t="s">
        <v>256</v>
      </c>
      <c r="G19" s="41"/>
    </row>
    <row r="20" spans="1:12" ht="19.5" customHeight="1">
      <c r="A20" s="20" t="s">
        <v>163</v>
      </c>
      <c r="B20" s="20" t="s">
        <v>282</v>
      </c>
      <c r="C20" s="48">
        <f>'Quality &amp; Defects'!B9</f>
        <v>2.2457059843953932E-4</v>
      </c>
      <c r="D20" s="24">
        <f>'Quality &amp; Defects'!B9</f>
        <v>2.2457059843953932E-4</v>
      </c>
      <c r="E20" s="36" t="s">
        <v>283</v>
      </c>
      <c r="F20" s="45" t="s">
        <v>275</v>
      </c>
      <c r="G20" s="38" t="s">
        <v>284</v>
      </c>
    </row>
    <row r="21" spans="1:12" ht="19.5" customHeight="1">
      <c r="A21" s="14" t="s">
        <v>285</v>
      </c>
      <c r="B21" s="14" t="s">
        <v>282</v>
      </c>
      <c r="C21" s="49">
        <f>'Quality &amp; Defects'!G9</f>
        <v>0.23</v>
      </c>
      <c r="D21" s="17">
        <f>'Quality &amp; Defects'!G9</f>
        <v>0.23</v>
      </c>
      <c r="E21" s="40" t="s">
        <v>286</v>
      </c>
      <c r="F21" s="45" t="s">
        <v>267</v>
      </c>
      <c r="G21" s="41" t="s">
        <v>287</v>
      </c>
    </row>
    <row r="22" spans="1:12" ht="19.5" customHeight="1">
      <c r="A22" s="20" t="s">
        <v>179</v>
      </c>
      <c r="B22" s="20" t="s">
        <v>288</v>
      </c>
      <c r="C22" s="44">
        <f>AVERAGE(RawData[Manufacturing costs])</f>
        <v>47.266693241469909</v>
      </c>
      <c r="D22" s="22">
        <f>AVERAGE(RawData[Manufacturing costs])</f>
        <v>47.266693241469909</v>
      </c>
      <c r="E22" s="36" t="s">
        <v>289</v>
      </c>
      <c r="F22" s="43" t="s">
        <v>261</v>
      </c>
      <c r="G22" s="38"/>
    </row>
    <row r="23" spans="1:12" ht="19.5" customHeight="1">
      <c r="A23" s="14" t="s">
        <v>290</v>
      </c>
      <c r="B23" s="14" t="s">
        <v>288</v>
      </c>
      <c r="C23" s="39">
        <f>AVERAGE(RawData[Manufacturing lead time])</f>
        <v>14.77</v>
      </c>
      <c r="D23" s="19">
        <f>AVERAGE(RawData[Manufacturing lead time])</f>
        <v>14.77</v>
      </c>
      <c r="E23" s="40" t="s">
        <v>291</v>
      </c>
      <c r="F23" s="37" t="s">
        <v>256</v>
      </c>
      <c r="G23" s="41"/>
    </row>
    <row r="25" spans="1:12" ht="24" customHeight="1">
      <c r="A25" s="69" t="s">
        <v>292</v>
      </c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</row>
    <row r="26" spans="1:12" ht="27.75" customHeight="1">
      <c r="A26" s="68" t="s">
        <v>293</v>
      </c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</row>
    <row r="27" spans="1:12" ht="27.75" customHeight="1">
      <c r="A27" s="67" t="s">
        <v>294</v>
      </c>
      <c r="B27" s="67"/>
      <c r="C27" s="67"/>
      <c r="D27" s="67"/>
      <c r="E27" s="67"/>
      <c r="F27" s="67"/>
      <c r="G27" s="67"/>
      <c r="H27" s="67"/>
      <c r="I27" s="67"/>
      <c r="J27" s="67"/>
      <c r="K27" s="67"/>
      <c r="L27" s="67"/>
    </row>
    <row r="28" spans="1:12" ht="27.75" customHeight="1">
      <c r="A28" s="68" t="s">
        <v>295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</row>
    <row r="29" spans="1:12" ht="27.75" customHeight="1">
      <c r="A29" s="67" t="s">
        <v>296</v>
      </c>
      <c r="B29" s="67"/>
      <c r="C29" s="67"/>
      <c r="D29" s="67"/>
      <c r="E29" s="67"/>
      <c r="F29" s="67"/>
      <c r="G29" s="67"/>
      <c r="H29" s="67"/>
      <c r="I29" s="67"/>
      <c r="J29" s="67"/>
      <c r="K29" s="67"/>
      <c r="L29" s="67"/>
    </row>
    <row r="30" spans="1:12" ht="27.75" customHeight="1">
      <c r="A30" s="68" t="s">
        <v>297</v>
      </c>
      <c r="B30" s="68"/>
      <c r="C30" s="68"/>
      <c r="D30" s="68"/>
      <c r="E30" s="68"/>
      <c r="F30" s="68"/>
      <c r="G30" s="68"/>
      <c r="H30" s="68"/>
      <c r="I30" s="68"/>
      <c r="J30" s="68"/>
      <c r="K30" s="68"/>
      <c r="L30" s="68"/>
    </row>
  </sheetData>
  <mergeCells count="21">
    <mergeCell ref="A29:L29"/>
    <mergeCell ref="A30:L30"/>
    <mergeCell ref="A8:L8"/>
    <mergeCell ref="A25:L25"/>
    <mergeCell ref="A26:L26"/>
    <mergeCell ref="A27:L27"/>
    <mergeCell ref="A28:L28"/>
    <mergeCell ref="A5:C5"/>
    <mergeCell ref="D5:F5"/>
    <mergeCell ref="G5:I5"/>
    <mergeCell ref="J5:L5"/>
    <mergeCell ref="A6:C6"/>
    <mergeCell ref="D6:F6"/>
    <mergeCell ref="G6:I6"/>
    <mergeCell ref="J6:L6"/>
    <mergeCell ref="A1:L1"/>
    <mergeCell ref="A2:L2"/>
    <mergeCell ref="A4:C4"/>
    <mergeCell ref="D4:F4"/>
    <mergeCell ref="G4:I4"/>
    <mergeCell ref="J4:L4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2C3E50"/>
  </sheetPr>
  <dimension ref="A1:J46"/>
  <sheetViews>
    <sheetView showGridLines="0" zoomScaleNormal="100" workbookViewId="0"/>
  </sheetViews>
  <sheetFormatPr defaultColWidth="8.7109375" defaultRowHeight="15"/>
  <cols>
    <col min="1" max="10" width="18" style="1" customWidth="1"/>
  </cols>
  <sheetData>
    <row r="1" spans="1:10" ht="37.5" customHeight="1">
      <c r="A1" s="70" t="s">
        <v>298</v>
      </c>
      <c r="B1" s="70"/>
      <c r="C1" s="70"/>
      <c r="D1" s="70"/>
      <c r="E1" s="70"/>
      <c r="F1" s="70"/>
      <c r="G1" s="70"/>
      <c r="H1" s="70"/>
      <c r="I1" s="70"/>
      <c r="J1" s="70"/>
    </row>
    <row r="2" spans="1:10" ht="18" customHeight="1">
      <c r="A2" s="57" t="s">
        <v>299</v>
      </c>
      <c r="B2" s="57"/>
      <c r="C2" s="57"/>
      <c r="D2" s="57"/>
      <c r="E2" s="57"/>
      <c r="F2" s="57"/>
      <c r="G2" s="57"/>
      <c r="H2" s="57"/>
      <c r="I2" s="57"/>
      <c r="J2" s="57"/>
    </row>
    <row r="3" spans="1:10" ht="7.5" customHeight="1"/>
    <row r="4" spans="1:10" ht="21.75" customHeight="1">
      <c r="A4" s="71" t="s">
        <v>300</v>
      </c>
      <c r="B4" s="71"/>
      <c r="C4" s="71"/>
      <c r="D4" s="71"/>
      <c r="E4" s="71"/>
      <c r="F4" s="71"/>
      <c r="G4" s="71"/>
      <c r="H4" s="71"/>
      <c r="I4" s="71"/>
      <c r="J4" s="71"/>
    </row>
    <row r="5" spans="1:10" ht="18" customHeight="1">
      <c r="A5" s="72" t="s">
        <v>301</v>
      </c>
      <c r="B5" s="72"/>
      <c r="C5" s="72"/>
      <c r="D5" s="72"/>
      <c r="E5" s="72"/>
      <c r="F5" s="72"/>
      <c r="G5" s="72"/>
      <c r="H5" s="72"/>
      <c r="I5" s="72"/>
      <c r="J5" s="72"/>
    </row>
    <row r="6" spans="1:10" ht="18" customHeight="1">
      <c r="A6" s="72"/>
      <c r="B6" s="72"/>
      <c r="C6" s="72"/>
      <c r="D6" s="72"/>
      <c r="E6" s="72"/>
      <c r="F6" s="72"/>
      <c r="G6" s="72"/>
      <c r="H6" s="72"/>
      <c r="I6" s="72"/>
      <c r="J6" s="72"/>
    </row>
    <row r="7" spans="1:10" ht="18" customHeight="1">
      <c r="A7" s="72"/>
      <c r="B7" s="72"/>
      <c r="C7" s="72"/>
      <c r="D7" s="72"/>
      <c r="E7" s="72"/>
      <c r="F7" s="72"/>
      <c r="G7" s="72"/>
      <c r="H7" s="72"/>
      <c r="I7" s="72"/>
      <c r="J7" s="72"/>
    </row>
    <row r="9" spans="1:10" ht="21.75" customHeight="1">
      <c r="A9" s="71" t="s">
        <v>302</v>
      </c>
      <c r="B9" s="71"/>
      <c r="C9" s="71"/>
      <c r="D9" s="71"/>
      <c r="E9" s="71"/>
      <c r="F9" s="71"/>
      <c r="G9" s="71"/>
      <c r="H9" s="71"/>
      <c r="I9" s="71"/>
      <c r="J9" s="71"/>
    </row>
    <row r="10" spans="1:10" ht="15" customHeight="1">
      <c r="A10" s="50" t="s">
        <v>303</v>
      </c>
      <c r="B10" s="50" t="s">
        <v>304</v>
      </c>
      <c r="C10" s="50" t="s">
        <v>305</v>
      </c>
      <c r="D10" s="50" t="s">
        <v>251</v>
      </c>
      <c r="E10" s="50" t="s">
        <v>306</v>
      </c>
      <c r="F10" s="50" t="s">
        <v>252</v>
      </c>
    </row>
    <row r="11" spans="1:10" ht="18" customHeight="1">
      <c r="A11" s="51"/>
      <c r="B11" s="51"/>
      <c r="C11" s="51"/>
      <c r="D11" s="51"/>
      <c r="E11" s="51">
        <f>IFERROR(C11-B11,"")</f>
        <v>0</v>
      </c>
      <c r="F11" s="51"/>
    </row>
    <row r="12" spans="1:10" ht="18" customHeight="1">
      <c r="A12" s="52"/>
      <c r="B12" s="52"/>
      <c r="C12" s="52"/>
      <c r="D12" s="52"/>
      <c r="E12" s="52">
        <f>IFERROR(C12-B12,"")</f>
        <v>0</v>
      </c>
      <c r="F12" s="52"/>
    </row>
    <row r="13" spans="1:10" ht="18" customHeight="1">
      <c r="A13" s="51"/>
      <c r="B13" s="51"/>
      <c r="C13" s="51"/>
      <c r="D13" s="51"/>
      <c r="E13" s="51">
        <f>IFERROR(C13-B13,"")</f>
        <v>0</v>
      </c>
      <c r="F13" s="51"/>
    </row>
    <row r="14" spans="1:10" ht="18" customHeight="1">
      <c r="A14" s="52"/>
      <c r="B14" s="52"/>
      <c r="C14" s="52"/>
      <c r="D14" s="52"/>
      <c r="E14" s="52">
        <f>IFERROR(C14-B14,"")</f>
        <v>0</v>
      </c>
      <c r="F14" s="52"/>
    </row>
    <row r="15" spans="1:10" ht="21.75" customHeight="1">
      <c r="A15" s="71" t="s">
        <v>307</v>
      </c>
      <c r="B15" s="71"/>
      <c r="C15" s="71"/>
      <c r="D15" s="71"/>
      <c r="E15" s="71"/>
      <c r="F15" s="71"/>
      <c r="G15" s="71"/>
      <c r="H15" s="71"/>
      <c r="I15" s="71"/>
      <c r="J15" s="71"/>
    </row>
    <row r="16" spans="1:10" ht="15" customHeight="1">
      <c r="A16" s="50" t="s">
        <v>303</v>
      </c>
      <c r="B16" s="50" t="s">
        <v>304</v>
      </c>
      <c r="C16" s="50" t="s">
        <v>305</v>
      </c>
      <c r="D16" s="50" t="s">
        <v>251</v>
      </c>
      <c r="E16" s="50" t="s">
        <v>306</v>
      </c>
      <c r="F16" s="50" t="s">
        <v>252</v>
      </c>
    </row>
    <row r="17" spans="1:10" ht="18" customHeight="1">
      <c r="A17" s="51"/>
      <c r="B17" s="51"/>
      <c r="C17" s="51"/>
      <c r="D17" s="51"/>
      <c r="E17" s="51">
        <f>IFERROR(C17-B17,"")</f>
        <v>0</v>
      </c>
      <c r="F17" s="51"/>
    </row>
    <row r="18" spans="1:10" ht="18" customHeight="1">
      <c r="A18" s="52"/>
      <c r="B18" s="52"/>
      <c r="C18" s="52"/>
      <c r="D18" s="52"/>
      <c r="E18" s="52">
        <f>IFERROR(C18-B18,"")</f>
        <v>0</v>
      </c>
      <c r="F18" s="52"/>
    </row>
    <row r="19" spans="1:10" ht="18" customHeight="1">
      <c r="A19" s="51"/>
      <c r="B19" s="51"/>
      <c r="C19" s="51"/>
      <c r="D19" s="51"/>
      <c r="E19" s="51">
        <f>IFERROR(C19-B19,"")</f>
        <v>0</v>
      </c>
      <c r="F19" s="51"/>
    </row>
    <row r="20" spans="1:10" ht="18" customHeight="1">
      <c r="A20" s="52"/>
      <c r="B20" s="52"/>
      <c r="C20" s="52"/>
      <c r="D20" s="52"/>
      <c r="E20" s="52">
        <f>IFERROR(C20-B20,"")</f>
        <v>0</v>
      </c>
      <c r="F20" s="52"/>
    </row>
    <row r="21" spans="1:10" ht="21.75" customHeight="1">
      <c r="A21" s="71" t="s">
        <v>308</v>
      </c>
      <c r="B21" s="71"/>
      <c r="C21" s="71"/>
      <c r="D21" s="71"/>
      <c r="E21" s="71"/>
      <c r="F21" s="71"/>
      <c r="G21" s="71"/>
      <c r="H21" s="71"/>
      <c r="I21" s="71"/>
      <c r="J21" s="71"/>
    </row>
    <row r="22" spans="1:10" ht="15" customHeight="1">
      <c r="A22" s="50" t="s">
        <v>303</v>
      </c>
      <c r="B22" s="50" t="s">
        <v>304</v>
      </c>
      <c r="C22" s="50" t="s">
        <v>305</v>
      </c>
      <c r="D22" s="50" t="s">
        <v>251</v>
      </c>
      <c r="E22" s="50" t="s">
        <v>306</v>
      </c>
      <c r="F22" s="50" t="s">
        <v>252</v>
      </c>
    </row>
    <row r="23" spans="1:10" ht="18" customHeight="1">
      <c r="A23" s="51"/>
      <c r="B23" s="51"/>
      <c r="C23" s="51"/>
      <c r="D23" s="51"/>
      <c r="E23" s="51">
        <f>IFERROR(C23-B23,"")</f>
        <v>0</v>
      </c>
      <c r="F23" s="51"/>
    </row>
    <row r="24" spans="1:10" ht="18" customHeight="1">
      <c r="A24" s="52"/>
      <c r="B24" s="52"/>
      <c r="C24" s="52"/>
      <c r="D24" s="52"/>
      <c r="E24" s="52">
        <f>IFERROR(C24-B24,"")</f>
        <v>0</v>
      </c>
      <c r="F24" s="52"/>
    </row>
    <row r="25" spans="1:10" ht="18" customHeight="1">
      <c r="A25" s="51"/>
      <c r="B25" s="51"/>
      <c r="C25" s="51"/>
      <c r="D25" s="51"/>
      <c r="E25" s="51">
        <f>IFERROR(C25-B25,"")</f>
        <v>0</v>
      </c>
      <c r="F25" s="51"/>
    </row>
    <row r="26" spans="1:10" ht="18" customHeight="1">
      <c r="A26" s="52"/>
      <c r="B26" s="52"/>
      <c r="C26" s="52"/>
      <c r="D26" s="52"/>
      <c r="E26" s="52">
        <f>IFERROR(C26-B26,"")</f>
        <v>0</v>
      </c>
      <c r="F26" s="52"/>
    </row>
    <row r="27" spans="1:10" ht="21.75" customHeight="1">
      <c r="A27" s="71" t="s">
        <v>309</v>
      </c>
      <c r="B27" s="71"/>
      <c r="C27" s="71"/>
      <c r="D27" s="71"/>
      <c r="E27" s="71"/>
      <c r="F27" s="71"/>
      <c r="G27" s="71"/>
      <c r="H27" s="71"/>
      <c r="I27" s="71"/>
      <c r="J27" s="71"/>
    </row>
    <row r="28" spans="1:10" ht="15" customHeight="1">
      <c r="A28" s="50" t="s">
        <v>303</v>
      </c>
      <c r="B28" s="50" t="s">
        <v>304</v>
      </c>
      <c r="C28" s="50" t="s">
        <v>305</v>
      </c>
      <c r="D28" s="50" t="s">
        <v>251</v>
      </c>
      <c r="E28" s="50" t="s">
        <v>306</v>
      </c>
      <c r="F28" s="50" t="s">
        <v>252</v>
      </c>
    </row>
    <row r="29" spans="1:10" ht="18" customHeight="1">
      <c r="A29" s="51"/>
      <c r="B29" s="51"/>
      <c r="C29" s="51"/>
      <c r="D29" s="51"/>
      <c r="E29" s="51">
        <f>IFERROR(C29-B29,"")</f>
        <v>0</v>
      </c>
      <c r="F29" s="51"/>
    </row>
    <row r="30" spans="1:10" ht="18" customHeight="1">
      <c r="A30" s="52"/>
      <c r="B30" s="52"/>
      <c r="C30" s="52"/>
      <c r="D30" s="52"/>
      <c r="E30" s="52">
        <f>IFERROR(C30-B30,"")</f>
        <v>0</v>
      </c>
      <c r="F30" s="52"/>
    </row>
    <row r="31" spans="1:10" ht="18" customHeight="1">
      <c r="A31" s="51"/>
      <c r="B31" s="51"/>
      <c r="C31" s="51"/>
      <c r="D31" s="51"/>
      <c r="E31" s="51">
        <f>IFERROR(C31-B31,"")</f>
        <v>0</v>
      </c>
      <c r="F31" s="51"/>
    </row>
    <row r="32" spans="1:10" ht="18" customHeight="1">
      <c r="A32" s="52"/>
      <c r="B32" s="52"/>
      <c r="C32" s="52"/>
      <c r="D32" s="52"/>
      <c r="E32" s="52">
        <f>IFERROR(C32-B32,"")</f>
        <v>0</v>
      </c>
      <c r="F32" s="52"/>
    </row>
    <row r="33" spans="1:10" ht="21.75" customHeight="1">
      <c r="A33" s="71" t="s">
        <v>310</v>
      </c>
      <c r="B33" s="71"/>
      <c r="C33" s="71"/>
      <c r="D33" s="71"/>
      <c r="E33" s="71"/>
      <c r="F33" s="71"/>
      <c r="G33" s="71"/>
      <c r="H33" s="71"/>
      <c r="I33" s="71"/>
      <c r="J33" s="71"/>
    </row>
    <row r="34" spans="1:10" ht="15" customHeight="1">
      <c r="A34" s="50" t="s">
        <v>303</v>
      </c>
      <c r="B34" s="50" t="s">
        <v>304</v>
      </c>
      <c r="C34" s="50" t="s">
        <v>305</v>
      </c>
      <c r="D34" s="50" t="s">
        <v>251</v>
      </c>
      <c r="E34" s="50" t="s">
        <v>306</v>
      </c>
      <c r="F34" s="50" t="s">
        <v>252</v>
      </c>
    </row>
    <row r="35" spans="1:10" ht="18" customHeight="1">
      <c r="A35" s="51"/>
      <c r="B35" s="51"/>
      <c r="C35" s="51"/>
      <c r="D35" s="51"/>
      <c r="E35" s="51">
        <f>IFERROR(C35-B35,"")</f>
        <v>0</v>
      </c>
      <c r="F35" s="51"/>
    </row>
    <row r="36" spans="1:10" ht="18" customHeight="1">
      <c r="A36" s="52"/>
      <c r="B36" s="52"/>
      <c r="C36" s="52"/>
      <c r="D36" s="52"/>
      <c r="E36" s="52">
        <f>IFERROR(C36-B36,"")</f>
        <v>0</v>
      </c>
      <c r="F36" s="52"/>
    </row>
    <row r="37" spans="1:10" ht="18" customHeight="1">
      <c r="A37" s="51"/>
      <c r="B37" s="51"/>
      <c r="C37" s="51"/>
      <c r="D37" s="51"/>
      <c r="E37" s="51">
        <f>IFERROR(C37-B37,"")</f>
        <v>0</v>
      </c>
      <c r="F37" s="51"/>
    </row>
    <row r="38" spans="1:10" ht="18" customHeight="1">
      <c r="A38" s="52"/>
      <c r="B38" s="52"/>
      <c r="C38" s="52"/>
      <c r="D38" s="52"/>
      <c r="E38" s="52">
        <f>IFERROR(C38-B38,"")</f>
        <v>0</v>
      </c>
      <c r="F38" s="52"/>
    </row>
    <row r="39" spans="1:10" ht="21.75" customHeight="1">
      <c r="A39" s="71" t="s">
        <v>311</v>
      </c>
      <c r="B39" s="71"/>
      <c r="C39" s="71"/>
      <c r="D39" s="71"/>
      <c r="E39" s="71"/>
      <c r="F39" s="71"/>
      <c r="G39" s="71"/>
      <c r="H39" s="71"/>
      <c r="I39" s="71"/>
      <c r="J39" s="71"/>
    </row>
    <row r="40" spans="1:10" ht="18" customHeight="1">
      <c r="A40" s="72" t="s">
        <v>312</v>
      </c>
      <c r="B40" s="72"/>
      <c r="C40" s="72"/>
      <c r="D40" s="72"/>
      <c r="E40" s="72"/>
      <c r="F40" s="72"/>
      <c r="G40" s="72"/>
      <c r="H40" s="72"/>
      <c r="I40" s="72"/>
      <c r="J40" s="72"/>
    </row>
    <row r="41" spans="1:10" ht="18" customHeight="1">
      <c r="A41" s="72"/>
      <c r="B41" s="72"/>
      <c r="C41" s="72"/>
      <c r="D41" s="72"/>
      <c r="E41" s="72"/>
      <c r="F41" s="72"/>
      <c r="G41" s="72"/>
      <c r="H41" s="72"/>
      <c r="I41" s="72"/>
      <c r="J41" s="72"/>
    </row>
    <row r="42" spans="1:10" ht="18" customHeight="1">
      <c r="A42" s="72"/>
      <c r="B42" s="72"/>
      <c r="C42" s="72"/>
      <c r="D42" s="72"/>
      <c r="E42" s="72"/>
      <c r="F42" s="72"/>
      <c r="G42" s="72"/>
      <c r="H42" s="72"/>
      <c r="I42" s="72"/>
      <c r="J42" s="72"/>
    </row>
    <row r="43" spans="1:10" ht="21.75" customHeight="1">
      <c r="A43" s="71" t="s">
        <v>313</v>
      </c>
      <c r="B43" s="71"/>
      <c r="C43" s="71"/>
      <c r="D43" s="71"/>
      <c r="E43" s="71"/>
      <c r="F43" s="71"/>
      <c r="G43" s="71"/>
      <c r="H43" s="71"/>
      <c r="I43" s="71"/>
      <c r="J43" s="71"/>
    </row>
    <row r="44" spans="1:10" ht="18" customHeight="1">
      <c r="A44" s="72" t="s">
        <v>314</v>
      </c>
      <c r="B44" s="72"/>
      <c r="C44" s="72"/>
      <c r="D44" s="72"/>
      <c r="E44" s="72"/>
      <c r="F44" s="72"/>
      <c r="G44" s="72"/>
      <c r="H44" s="72"/>
      <c r="I44" s="72"/>
      <c r="J44" s="72"/>
    </row>
    <row r="45" spans="1:10" ht="18" customHeight="1">
      <c r="A45" s="72"/>
      <c r="B45" s="72"/>
      <c r="C45" s="72"/>
      <c r="D45" s="72"/>
      <c r="E45" s="72"/>
      <c r="F45" s="72"/>
      <c r="G45" s="72"/>
      <c r="H45" s="72"/>
      <c r="I45" s="72"/>
      <c r="J45" s="72"/>
    </row>
    <row r="46" spans="1:10" ht="18" customHeight="1">
      <c r="A46" s="72"/>
      <c r="B46" s="72"/>
      <c r="C46" s="72"/>
      <c r="D46" s="72"/>
      <c r="E46" s="72"/>
      <c r="F46" s="72"/>
      <c r="G46" s="72"/>
      <c r="H46" s="72"/>
      <c r="I46" s="72"/>
      <c r="J46" s="72"/>
    </row>
  </sheetData>
  <mergeCells count="13">
    <mergeCell ref="A40:J42"/>
    <mergeCell ref="A43:J43"/>
    <mergeCell ref="A44:J46"/>
    <mergeCell ref="A15:J15"/>
    <mergeCell ref="A21:J21"/>
    <mergeCell ref="A27:J27"/>
    <mergeCell ref="A33:J33"/>
    <mergeCell ref="A39:J39"/>
    <mergeCell ref="A1:J1"/>
    <mergeCell ref="A2:J2"/>
    <mergeCell ref="A4:J4"/>
    <mergeCell ref="A5:J7"/>
    <mergeCell ref="A9:J9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3</cp:revision>
  <dcterms:created xsi:type="dcterms:W3CDTF">2026-05-22T00:56:59Z</dcterms:created>
  <dcterms:modified xsi:type="dcterms:W3CDTF">2026-05-25T04:10:11Z</dcterms:modified>
  <cp:category/>
  <cp:contentStatus/>
</cp:coreProperties>
</file>